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8.1\res\"/>
    </mc:Choice>
  </mc:AlternateContent>
  <xr:revisionPtr revIDLastSave="0" documentId="13_ncr:1_{5EC5433B-9B55-42DC-9135-415A088C10B0}" xr6:coauthVersionLast="36" xr6:coauthVersionMax="36" xr10:uidLastSave="{00000000-0000-0000-0000-000000000000}"/>
  <bookViews>
    <workbookView xWindow="0" yWindow="5400" windowWidth="28215" windowHeight="13500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/>
  <c r="O73" i="29"/>
  <c r="N73" i="29"/>
  <c r="M73" i="29"/>
  <c r="L73" i="29"/>
  <c r="I73" i="29"/>
  <c r="T73" i="29" s="1"/>
  <c r="H73" i="29"/>
  <c r="J73" i="29"/>
  <c r="G73" i="29"/>
  <c r="F73" i="29"/>
  <c r="E73" i="29"/>
  <c r="D73" i="29"/>
  <c r="Q72" i="29"/>
  <c r="I72" i="29"/>
  <c r="P72" i="29"/>
  <c r="R72" i="29" s="1"/>
  <c r="H72" i="29"/>
  <c r="O72" i="29"/>
  <c r="N72" i="29"/>
  <c r="M72" i="29"/>
  <c r="L72" i="29"/>
  <c r="J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T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T60" i="29" s="1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T32" i="29" s="1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 s="1"/>
  <c r="N12" i="30" s="1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T54" i="29" s="1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L4" i="25"/>
  <c r="M4" i="25"/>
  <c r="N4" i="25"/>
  <c r="O4" i="25"/>
  <c r="P4" i="25"/>
  <c r="Q4" i="25"/>
  <c r="I4" i="25"/>
  <c r="L5" i="25"/>
  <c r="M5" i="25"/>
  <c r="N5" i="25"/>
  <c r="O5" i="25"/>
  <c r="P5" i="25"/>
  <c r="Q5" i="25"/>
  <c r="L6" i="25"/>
  <c r="M6" i="25"/>
  <c r="N6" i="25"/>
  <c r="O6" i="25"/>
  <c r="P6" i="25"/>
  <c r="R6" i="25" s="1"/>
  <c r="Q6" i="25"/>
  <c r="L7" i="25"/>
  <c r="M7" i="25"/>
  <c r="N7" i="25"/>
  <c r="O7" i="25"/>
  <c r="P7" i="25"/>
  <c r="H7" i="25"/>
  <c r="J7" i="25" s="1"/>
  <c r="Q7" i="25"/>
  <c r="L8" i="25"/>
  <c r="M8" i="25"/>
  <c r="N8" i="25"/>
  <c r="O8" i="25"/>
  <c r="P8" i="25"/>
  <c r="H8" i="25"/>
  <c r="Q8" i="25"/>
  <c r="L9" i="25"/>
  <c r="M9" i="25"/>
  <c r="N9" i="25"/>
  <c r="O9" i="25"/>
  <c r="P9" i="25"/>
  <c r="R9" i="25" s="1"/>
  <c r="Q9" i="25"/>
  <c r="I9" i="25"/>
  <c r="T9" i="25" s="1"/>
  <c r="L10" i="25"/>
  <c r="M10" i="25"/>
  <c r="N10" i="25"/>
  <c r="O10" i="25"/>
  <c r="P10" i="25"/>
  <c r="R10" i="25" s="1"/>
  <c r="Q10" i="25"/>
  <c r="I10" i="25"/>
  <c r="L11" i="25"/>
  <c r="M11" i="25"/>
  <c r="N11" i="25"/>
  <c r="O11" i="25"/>
  <c r="P11" i="25"/>
  <c r="R11" i="25" s="1"/>
  <c r="Q11" i="25"/>
  <c r="I11" i="25"/>
  <c r="L12" i="25"/>
  <c r="M12" i="25"/>
  <c r="N12" i="25"/>
  <c r="O12" i="25"/>
  <c r="P12" i="25"/>
  <c r="R12" i="25" s="1"/>
  <c r="Q12" i="25"/>
  <c r="L13" i="25"/>
  <c r="M13" i="25"/>
  <c r="N13" i="25"/>
  <c r="O13" i="25"/>
  <c r="P13" i="25"/>
  <c r="R13" i="25" s="1"/>
  <c r="Q13" i="25"/>
  <c r="I13" i="25"/>
  <c r="L14" i="25"/>
  <c r="M14" i="25"/>
  <c r="N14" i="25"/>
  <c r="O14" i="25"/>
  <c r="P14" i="25"/>
  <c r="R14" i="25" s="1"/>
  <c r="Q14" i="25"/>
  <c r="I14" i="25"/>
  <c r="L15" i="25"/>
  <c r="M15" i="25"/>
  <c r="N15" i="25"/>
  <c r="O15" i="25"/>
  <c r="P15" i="25"/>
  <c r="Q15" i="25"/>
  <c r="I15" i="25"/>
  <c r="L16" i="25"/>
  <c r="M16" i="25"/>
  <c r="N16" i="25"/>
  <c r="O16" i="25"/>
  <c r="P16" i="25"/>
  <c r="R16" i="25" s="1"/>
  <c r="Q16" i="25"/>
  <c r="I16" i="25"/>
  <c r="L17" i="25"/>
  <c r="M17" i="25"/>
  <c r="N17" i="25"/>
  <c r="O17" i="25"/>
  <c r="P17" i="25"/>
  <c r="R17" i="25" s="1"/>
  <c r="Q17" i="25"/>
  <c r="I17" i="25"/>
  <c r="L18" i="25"/>
  <c r="M18" i="25"/>
  <c r="N18" i="25"/>
  <c r="O18" i="25"/>
  <c r="P18" i="25"/>
  <c r="Q18" i="25"/>
  <c r="L19" i="25"/>
  <c r="M19" i="25"/>
  <c r="N19" i="25"/>
  <c r="O19" i="25"/>
  <c r="P19" i="25"/>
  <c r="R19" i="25" s="1"/>
  <c r="H19" i="25"/>
  <c r="J19" i="25" s="1"/>
  <c r="Q19" i="25"/>
  <c r="L20" i="25"/>
  <c r="M20" i="25"/>
  <c r="N20" i="25"/>
  <c r="O20" i="25"/>
  <c r="P20" i="25"/>
  <c r="R20" i="25" s="1"/>
  <c r="Q20" i="25"/>
  <c r="I20" i="25"/>
  <c r="L21" i="25"/>
  <c r="M21" i="25"/>
  <c r="N21" i="25"/>
  <c r="O21" i="25"/>
  <c r="P21" i="25"/>
  <c r="H21" i="25"/>
  <c r="J21" i="25" s="1"/>
  <c r="Q21" i="25"/>
  <c r="I21" i="25"/>
  <c r="L22" i="25"/>
  <c r="M22" i="25"/>
  <c r="N22" i="25"/>
  <c r="O22" i="25"/>
  <c r="P22" i="25"/>
  <c r="R22" i="25" s="1"/>
  <c r="Q22" i="25"/>
  <c r="I22" i="25"/>
  <c r="L23" i="25"/>
  <c r="M23" i="25"/>
  <c r="N23" i="25"/>
  <c r="O23" i="25"/>
  <c r="P23" i="25"/>
  <c r="R23" i="25" s="1"/>
  <c r="Q23" i="25"/>
  <c r="L24" i="25"/>
  <c r="M24" i="25"/>
  <c r="N24" i="25"/>
  <c r="O24" i="25"/>
  <c r="P24" i="25"/>
  <c r="H24" i="25"/>
  <c r="Q24" i="25"/>
  <c r="I24" i="25"/>
  <c r="L25" i="25"/>
  <c r="M25" i="25"/>
  <c r="N25" i="25"/>
  <c r="O25" i="25"/>
  <c r="P25" i="25"/>
  <c r="H25" i="25"/>
  <c r="Q25" i="25"/>
  <c r="I25" i="25"/>
  <c r="L26" i="25"/>
  <c r="M26" i="25"/>
  <c r="N26" i="25"/>
  <c r="O26" i="25"/>
  <c r="P26" i="25"/>
  <c r="R26" i="25" s="1"/>
  <c r="Q26" i="25"/>
  <c r="I26" i="25"/>
  <c r="L27" i="25"/>
  <c r="M27" i="25"/>
  <c r="N27" i="25"/>
  <c r="O27" i="25"/>
  <c r="P27" i="25"/>
  <c r="R27" i="25" s="1"/>
  <c r="Q27" i="25"/>
  <c r="L28" i="25"/>
  <c r="M28" i="25"/>
  <c r="N28" i="25"/>
  <c r="O28" i="25"/>
  <c r="P28" i="25"/>
  <c r="R28" i="25" s="1"/>
  <c r="Q28" i="25"/>
  <c r="I28" i="25"/>
  <c r="L29" i="25"/>
  <c r="M29" i="25"/>
  <c r="N29" i="25"/>
  <c r="O29" i="25"/>
  <c r="P29" i="25"/>
  <c r="R29" i="25" s="1"/>
  <c r="Q29" i="25"/>
  <c r="I29" i="25"/>
  <c r="L30" i="25"/>
  <c r="M30" i="25"/>
  <c r="N30" i="25"/>
  <c r="O30" i="25"/>
  <c r="P30" i="25"/>
  <c r="R30" i="25" s="1"/>
  <c r="Q30" i="25"/>
  <c r="I30" i="25"/>
  <c r="L31" i="25"/>
  <c r="M31" i="25"/>
  <c r="N31" i="25"/>
  <c r="O31" i="25"/>
  <c r="P31" i="25"/>
  <c r="Q31" i="25"/>
  <c r="I31" i="25"/>
  <c r="L32" i="25"/>
  <c r="M32" i="25"/>
  <c r="N32" i="25"/>
  <c r="O32" i="25"/>
  <c r="P32" i="25"/>
  <c r="Q32" i="25"/>
  <c r="L33" i="25"/>
  <c r="M33" i="25"/>
  <c r="N33" i="25"/>
  <c r="O33" i="25"/>
  <c r="P33" i="25"/>
  <c r="R33" i="25" s="1"/>
  <c r="Q33" i="25"/>
  <c r="I33" i="25"/>
  <c r="L34" i="25"/>
  <c r="M34" i="25"/>
  <c r="N34" i="25"/>
  <c r="O34" i="25"/>
  <c r="P34" i="25"/>
  <c r="R34" i="25" s="1"/>
  <c r="H34" i="25"/>
  <c r="J34" i="25" s="1"/>
  <c r="Q34" i="25"/>
  <c r="T34" i="25" s="1"/>
  <c r="L35" i="25"/>
  <c r="M35" i="25"/>
  <c r="N35" i="25"/>
  <c r="O35" i="25"/>
  <c r="P35" i="25"/>
  <c r="R35" i="25" s="1"/>
  <c r="Q35" i="25"/>
  <c r="L36" i="25"/>
  <c r="M36" i="25"/>
  <c r="N36" i="25"/>
  <c r="O36" i="25"/>
  <c r="P36" i="25"/>
  <c r="R36" i="25" s="1"/>
  <c r="Q36" i="25"/>
  <c r="I36" i="25"/>
  <c r="L37" i="25"/>
  <c r="M37" i="25"/>
  <c r="N37" i="25"/>
  <c r="O37" i="25"/>
  <c r="P37" i="25"/>
  <c r="R37" i="25" s="1"/>
  <c r="Q37" i="25"/>
  <c r="I37" i="25"/>
  <c r="L38" i="25"/>
  <c r="M38" i="25"/>
  <c r="N38" i="25"/>
  <c r="O38" i="25"/>
  <c r="P38" i="25"/>
  <c r="R38" i="25" s="1"/>
  <c r="Q38" i="25"/>
  <c r="I38" i="25"/>
  <c r="L39" i="25"/>
  <c r="M39" i="25"/>
  <c r="N39" i="25"/>
  <c r="O39" i="25"/>
  <c r="P39" i="25"/>
  <c r="Q39" i="25"/>
  <c r="I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H42" i="25"/>
  <c r="J42" i="25" s="1"/>
  <c r="Q42" i="25"/>
  <c r="I42" i="25"/>
  <c r="L43" i="25"/>
  <c r="M43" i="25"/>
  <c r="N43" i="25"/>
  <c r="O43" i="25"/>
  <c r="P43" i="25"/>
  <c r="R43" i="25" s="1"/>
  <c r="H43" i="25"/>
  <c r="J43" i="25" s="1"/>
  <c r="Q43" i="25"/>
  <c r="I43" i="25"/>
  <c r="L44" i="25"/>
  <c r="M44" i="25"/>
  <c r="N44" i="25"/>
  <c r="O44" i="25"/>
  <c r="P44" i="25"/>
  <c r="R44" i="25" s="1"/>
  <c r="Q44" i="25"/>
  <c r="I44" i="25"/>
  <c r="L45" i="25"/>
  <c r="M45" i="25"/>
  <c r="N45" i="25"/>
  <c r="O45" i="25"/>
  <c r="P45" i="25"/>
  <c r="Q45" i="25"/>
  <c r="I45" i="25"/>
  <c r="L46" i="25"/>
  <c r="M46" i="25"/>
  <c r="N46" i="25"/>
  <c r="O46" i="25"/>
  <c r="P46" i="25"/>
  <c r="R46" i="25" s="1"/>
  <c r="Q46" i="25"/>
  <c r="L47" i="25"/>
  <c r="M47" i="25"/>
  <c r="N47" i="25"/>
  <c r="O47" i="25"/>
  <c r="P47" i="25"/>
  <c r="R47" i="25" s="1"/>
  <c r="Q47" i="25"/>
  <c r="I47" i="25"/>
  <c r="L48" i="25"/>
  <c r="M48" i="25"/>
  <c r="N48" i="25"/>
  <c r="O48" i="25"/>
  <c r="P48" i="25"/>
  <c r="R48" i="25" s="1"/>
  <c r="H48" i="25"/>
  <c r="Q48" i="25"/>
  <c r="I48" i="25"/>
  <c r="L49" i="25"/>
  <c r="M49" i="25"/>
  <c r="N49" i="25"/>
  <c r="O49" i="25"/>
  <c r="P49" i="25"/>
  <c r="R49" i="25" s="1"/>
  <c r="Q49" i="25"/>
  <c r="I49" i="25"/>
  <c r="L50" i="25"/>
  <c r="M50" i="25"/>
  <c r="N50" i="25"/>
  <c r="O50" i="25"/>
  <c r="P50" i="25"/>
  <c r="R50" i="25" s="1"/>
  <c r="Q50" i="25"/>
  <c r="I50" i="25"/>
  <c r="L51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Q3" i="25"/>
  <c r="P3" i="25"/>
  <c r="R3" i="25" s="1"/>
  <c r="O3" i="25"/>
  <c r="N3" i="25"/>
  <c r="M3" i="25"/>
  <c r="L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M3" i="20"/>
  <c r="N3" i="20"/>
  <c r="O3" i="20"/>
  <c r="P3" i="20"/>
  <c r="H3" i="20"/>
  <c r="J3" i="20" s="1"/>
  <c r="Q3" i="20"/>
  <c r="M4" i="20"/>
  <c r="N4" i="20"/>
  <c r="O4" i="20"/>
  <c r="P4" i="20"/>
  <c r="Q4" i="20"/>
  <c r="M5" i="20"/>
  <c r="N5" i="20"/>
  <c r="O5" i="20"/>
  <c r="P5" i="20"/>
  <c r="Q5" i="20"/>
  <c r="I5" i="20"/>
  <c r="M6" i="20"/>
  <c r="N6" i="20"/>
  <c r="O6" i="20"/>
  <c r="P6" i="20"/>
  <c r="R6" i="20" s="1"/>
  <c r="Q6" i="20"/>
  <c r="M7" i="20"/>
  <c r="N7" i="20"/>
  <c r="O7" i="20"/>
  <c r="P7" i="20"/>
  <c r="R7" i="20" s="1"/>
  <c r="Q7" i="20"/>
  <c r="M8" i="20"/>
  <c r="N8" i="20"/>
  <c r="O8" i="20"/>
  <c r="P8" i="20"/>
  <c r="Q8" i="20"/>
  <c r="I8" i="20"/>
  <c r="M9" i="20"/>
  <c r="N9" i="20"/>
  <c r="O9" i="20"/>
  <c r="P9" i="20"/>
  <c r="R9" i="20" s="1"/>
  <c r="Q9" i="20"/>
  <c r="M10" i="20"/>
  <c r="N10" i="20"/>
  <c r="O10" i="20"/>
  <c r="P10" i="20"/>
  <c r="R10" i="20" s="1"/>
  <c r="Q10" i="20"/>
  <c r="M11" i="20"/>
  <c r="N11" i="20"/>
  <c r="O11" i="20"/>
  <c r="P11" i="20"/>
  <c r="Q11" i="20"/>
  <c r="I11" i="20"/>
  <c r="M12" i="20"/>
  <c r="N12" i="20"/>
  <c r="O12" i="20"/>
  <c r="P12" i="20"/>
  <c r="Q12" i="20"/>
  <c r="M13" i="20"/>
  <c r="N13" i="20"/>
  <c r="O13" i="20"/>
  <c r="P13" i="20"/>
  <c r="R13" i="20" s="1"/>
  <c r="H13" i="20"/>
  <c r="Q13" i="20"/>
  <c r="I13" i="20"/>
  <c r="M14" i="20"/>
  <c r="N14" i="20"/>
  <c r="O14" i="20"/>
  <c r="P14" i="20"/>
  <c r="Q14" i="20"/>
  <c r="M15" i="20"/>
  <c r="N15" i="20"/>
  <c r="O15" i="20"/>
  <c r="P15" i="20"/>
  <c r="R15" i="20" s="1"/>
  <c r="Q15" i="20"/>
  <c r="M16" i="20"/>
  <c r="N16" i="20"/>
  <c r="O16" i="20"/>
  <c r="P16" i="20"/>
  <c r="R16" i="20" s="1"/>
  <c r="H16" i="20"/>
  <c r="J16" i="20" s="1"/>
  <c r="Q16" i="20"/>
  <c r="M17" i="20"/>
  <c r="N17" i="20"/>
  <c r="O17" i="20"/>
  <c r="P17" i="20"/>
  <c r="R17" i="20" s="1"/>
  <c r="Q17" i="20"/>
  <c r="M18" i="20"/>
  <c r="N18" i="20"/>
  <c r="O18" i="20"/>
  <c r="P18" i="20"/>
  <c r="R18" i="20" s="1"/>
  <c r="Q18" i="20"/>
  <c r="M19" i="20"/>
  <c r="N19" i="20"/>
  <c r="O19" i="20"/>
  <c r="P19" i="20"/>
  <c r="R19" i="20" s="1"/>
  <c r="H19" i="20"/>
  <c r="J19" i="20" s="1"/>
  <c r="Q19" i="20"/>
  <c r="I19" i="20"/>
  <c r="M20" i="20"/>
  <c r="N20" i="20"/>
  <c r="O20" i="20"/>
  <c r="P20" i="20"/>
  <c r="Q20" i="20"/>
  <c r="M21" i="20"/>
  <c r="N21" i="20"/>
  <c r="O21" i="20"/>
  <c r="P21" i="20"/>
  <c r="Q21" i="20"/>
  <c r="M22" i="20"/>
  <c r="N22" i="20"/>
  <c r="O22" i="20"/>
  <c r="P22" i="20"/>
  <c r="R22" i="20" s="1"/>
  <c r="Q22" i="20"/>
  <c r="I22" i="20"/>
  <c r="M23" i="20"/>
  <c r="N23" i="20"/>
  <c r="O23" i="20"/>
  <c r="P23" i="20"/>
  <c r="R23" i="20" s="1"/>
  <c r="Q23" i="20"/>
  <c r="M24" i="20"/>
  <c r="N24" i="20"/>
  <c r="O24" i="20"/>
  <c r="P24" i="20"/>
  <c r="R24" i="20" s="1"/>
  <c r="Q24" i="20"/>
  <c r="M25" i="20"/>
  <c r="N25" i="20"/>
  <c r="O25" i="20"/>
  <c r="P25" i="20"/>
  <c r="Q25" i="20"/>
  <c r="I25" i="20"/>
  <c r="M26" i="20"/>
  <c r="N26" i="20"/>
  <c r="O26" i="20"/>
  <c r="P26" i="20"/>
  <c r="Q26" i="20"/>
  <c r="M27" i="20"/>
  <c r="N27" i="20"/>
  <c r="O27" i="20"/>
  <c r="P27" i="20"/>
  <c r="R27" i="20" s="1"/>
  <c r="H27" i="20"/>
  <c r="J27" i="20" s="1"/>
  <c r="Q27" i="20"/>
  <c r="M28" i="20"/>
  <c r="N28" i="20"/>
  <c r="O28" i="20"/>
  <c r="P28" i="20"/>
  <c r="R28" i="20" s="1"/>
  <c r="Q28" i="20"/>
  <c r="I28" i="20"/>
  <c r="M29" i="20"/>
  <c r="N29" i="20"/>
  <c r="O29" i="20"/>
  <c r="P29" i="20"/>
  <c r="R29" i="20" s="1"/>
  <c r="Q29" i="20"/>
  <c r="M30" i="20"/>
  <c r="N30" i="20"/>
  <c r="O30" i="20"/>
  <c r="P30" i="20"/>
  <c r="Q30" i="20"/>
  <c r="I30" i="20"/>
  <c r="M31" i="20"/>
  <c r="N31" i="20"/>
  <c r="O31" i="20"/>
  <c r="P31" i="20"/>
  <c r="Q31" i="20"/>
  <c r="I31" i="20"/>
  <c r="M32" i="20"/>
  <c r="N32" i="20"/>
  <c r="O32" i="20"/>
  <c r="P32" i="20"/>
  <c r="R32" i="20" s="1"/>
  <c r="Q32" i="20"/>
  <c r="M33" i="20"/>
  <c r="N33" i="20"/>
  <c r="O33" i="20"/>
  <c r="P33" i="20"/>
  <c r="Q33" i="20"/>
  <c r="I33" i="20"/>
  <c r="M34" i="20"/>
  <c r="N34" i="20"/>
  <c r="O34" i="20"/>
  <c r="P34" i="20"/>
  <c r="R34" i="20" s="1"/>
  <c r="Q34" i="20"/>
  <c r="M35" i="20"/>
  <c r="N35" i="20"/>
  <c r="O35" i="20"/>
  <c r="P35" i="20"/>
  <c r="R35" i="20" s="1"/>
  <c r="Q35" i="20"/>
  <c r="M36" i="20"/>
  <c r="N36" i="20"/>
  <c r="O36" i="20"/>
  <c r="P36" i="20"/>
  <c r="Q36" i="20"/>
  <c r="M37" i="20"/>
  <c r="N37" i="20"/>
  <c r="O37" i="20"/>
  <c r="P37" i="20"/>
  <c r="R37" i="20" s="1"/>
  <c r="Q37" i="20"/>
  <c r="M38" i="20"/>
  <c r="N38" i="20"/>
  <c r="O38" i="20"/>
  <c r="P38" i="20"/>
  <c r="R38" i="20" s="1"/>
  <c r="Q38" i="20"/>
  <c r="I38" i="20"/>
  <c r="M39" i="20"/>
  <c r="N39" i="20"/>
  <c r="O39" i="20"/>
  <c r="P39" i="20"/>
  <c r="R39" i="20" s="1"/>
  <c r="Q39" i="20"/>
  <c r="M40" i="20"/>
  <c r="N40" i="20"/>
  <c r="O40" i="20"/>
  <c r="P40" i="20"/>
  <c r="Q40" i="20"/>
  <c r="M41" i="20"/>
  <c r="N41" i="20"/>
  <c r="O41" i="20"/>
  <c r="P41" i="20"/>
  <c r="Q41" i="20"/>
  <c r="I41" i="20"/>
  <c r="M42" i="20"/>
  <c r="N42" i="20"/>
  <c r="O42" i="20"/>
  <c r="P42" i="20"/>
  <c r="R42" i="20" s="1"/>
  <c r="Q42" i="20"/>
  <c r="M43" i="20"/>
  <c r="N43" i="20"/>
  <c r="O43" i="20"/>
  <c r="P43" i="20"/>
  <c r="Q43" i="20"/>
  <c r="M44" i="20"/>
  <c r="N44" i="20"/>
  <c r="O44" i="20"/>
  <c r="P44" i="20"/>
  <c r="Q44" i="20"/>
  <c r="I44" i="20"/>
  <c r="M45" i="20"/>
  <c r="N45" i="20"/>
  <c r="O45" i="20"/>
  <c r="P45" i="20"/>
  <c r="R45" i="20" s="1"/>
  <c r="Q45" i="20"/>
  <c r="I45" i="20"/>
  <c r="M46" i="20"/>
  <c r="N46" i="20"/>
  <c r="O46" i="20"/>
  <c r="P46" i="20"/>
  <c r="R46" i="20" s="1"/>
  <c r="H46" i="20"/>
  <c r="J46" i="20" s="1"/>
  <c r="Q46" i="20"/>
  <c r="M47" i="20"/>
  <c r="N47" i="20"/>
  <c r="O47" i="20"/>
  <c r="P47" i="20"/>
  <c r="R47" i="20" s="1"/>
  <c r="Q47" i="20"/>
  <c r="I47" i="20"/>
  <c r="M48" i="20"/>
  <c r="N48" i="20"/>
  <c r="O48" i="20"/>
  <c r="P48" i="20"/>
  <c r="H48" i="20"/>
  <c r="J48" i="20" s="1"/>
  <c r="Q48" i="20"/>
  <c r="M49" i="20"/>
  <c r="N49" i="20"/>
  <c r="O49" i="20"/>
  <c r="P49" i="20"/>
  <c r="R49" i="20" s="1"/>
  <c r="Q49" i="20"/>
  <c r="I49" i="20"/>
  <c r="M50" i="20"/>
  <c r="N50" i="20"/>
  <c r="O50" i="20"/>
  <c r="P50" i="20"/>
  <c r="Q50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I3" i="27"/>
  <c r="P3" i="27"/>
  <c r="H3" i="27"/>
  <c r="J3" i="27" s="1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I47" i="27"/>
  <c r="P47" i="27"/>
  <c r="R47" i="27" s="1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I43" i="27"/>
  <c r="P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I39" i="27"/>
  <c r="P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I35" i="27"/>
  <c r="P35" i="27"/>
  <c r="R35" i="27" s="1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I27" i="27"/>
  <c r="P27" i="27"/>
  <c r="R27" i="27" s="1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I23" i="27"/>
  <c r="P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P19" i="27"/>
  <c r="H19" i="27"/>
  <c r="J19" i="27" s="1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P15" i="27"/>
  <c r="R15" i="27" s="1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P11" i="27"/>
  <c r="H11" i="27"/>
  <c r="J11" i="27" s="1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I7" i="27"/>
  <c r="P7" i="27"/>
  <c r="R7" i="27" s="1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/>
  <c r="H51" i="27"/>
  <c r="J51" i="27" s="1"/>
  <c r="L52" i="27"/>
  <c r="G52" i="27"/>
  <c r="F52" i="27"/>
  <c r="E52" i="27"/>
  <c r="D52" i="27"/>
  <c r="L51" i="27"/>
  <c r="D51" i="27"/>
  <c r="G51" i="27"/>
  <c r="F51" i="27"/>
  <c r="E51" i="27"/>
  <c r="I51" i="27"/>
  <c r="Q50" i="27"/>
  <c r="I50" i="27"/>
  <c r="P50" i="27"/>
  <c r="R50" i="27" s="1"/>
  <c r="H50" i="27"/>
  <c r="J50" i="27" s="1"/>
  <c r="L50" i="27"/>
  <c r="G50" i="27"/>
  <c r="F50" i="27"/>
  <c r="E50" i="27"/>
  <c r="D50" i="27"/>
  <c r="Q49" i="27"/>
  <c r="I49" i="27"/>
  <c r="P49" i="27"/>
  <c r="R49" i="27" s="1"/>
  <c r="H49" i="27"/>
  <c r="J49" i="27" s="1"/>
  <c r="L49" i="27"/>
  <c r="G49" i="27"/>
  <c r="F49" i="27"/>
  <c r="E49" i="27"/>
  <c r="D49" i="27"/>
  <c r="Q48" i="27"/>
  <c r="P48" i="27"/>
  <c r="I48" i="27"/>
  <c r="H48" i="27"/>
  <c r="L48" i="27"/>
  <c r="G48" i="27"/>
  <c r="F48" i="27"/>
  <c r="E48" i="27"/>
  <c r="D48" i="27"/>
  <c r="L47" i="27"/>
  <c r="D47" i="27"/>
  <c r="G47" i="27"/>
  <c r="F47" i="27"/>
  <c r="E47" i="27"/>
  <c r="H47" i="27"/>
  <c r="J47" i="27" s="1"/>
  <c r="Q46" i="27"/>
  <c r="I46" i="27"/>
  <c r="P46" i="27"/>
  <c r="H46" i="27"/>
  <c r="J46" i="27" s="1"/>
  <c r="L46" i="27"/>
  <c r="G46" i="27"/>
  <c r="F46" i="27"/>
  <c r="E46" i="27"/>
  <c r="D46" i="27"/>
  <c r="Q45" i="27"/>
  <c r="I45" i="27"/>
  <c r="P45" i="27"/>
  <c r="R45" i="27" s="1"/>
  <c r="H45" i="27"/>
  <c r="J45" i="27" s="1"/>
  <c r="L45" i="27"/>
  <c r="G45" i="27"/>
  <c r="F45" i="27"/>
  <c r="E45" i="27"/>
  <c r="D45" i="27"/>
  <c r="Q44" i="27"/>
  <c r="I44" i="27"/>
  <c r="P44" i="27"/>
  <c r="H44" i="27"/>
  <c r="J44" i="27" s="1"/>
  <c r="L44" i="27"/>
  <c r="G44" i="27"/>
  <c r="F44" i="27"/>
  <c r="E44" i="27"/>
  <c r="D44" i="27"/>
  <c r="L43" i="27"/>
  <c r="D43" i="27"/>
  <c r="G43" i="27"/>
  <c r="F43" i="27"/>
  <c r="E43" i="27"/>
  <c r="H43" i="27"/>
  <c r="J43" i="27" s="1"/>
  <c r="Q42" i="27"/>
  <c r="P42" i="27"/>
  <c r="R42" i="27" s="1"/>
  <c r="I42" i="27"/>
  <c r="H42" i="27"/>
  <c r="J42" i="27" s="1"/>
  <c r="L42" i="27"/>
  <c r="G42" i="27"/>
  <c r="F42" i="27"/>
  <c r="E42" i="27"/>
  <c r="D42" i="27"/>
  <c r="Q41" i="27"/>
  <c r="I41" i="27"/>
  <c r="P41" i="27"/>
  <c r="H41" i="27"/>
  <c r="J41" i="27" s="1"/>
  <c r="L41" i="27"/>
  <c r="G41" i="27"/>
  <c r="F41" i="27"/>
  <c r="E41" i="27"/>
  <c r="D41" i="27"/>
  <c r="Q40" i="27"/>
  <c r="I40" i="27"/>
  <c r="P40" i="27"/>
  <c r="H40" i="27"/>
  <c r="J40" i="27" s="1"/>
  <c r="L40" i="27"/>
  <c r="G40" i="27"/>
  <c r="F40" i="27"/>
  <c r="E40" i="27"/>
  <c r="D40" i="27"/>
  <c r="L39" i="27"/>
  <c r="D39" i="27"/>
  <c r="G39" i="27"/>
  <c r="F39" i="27"/>
  <c r="E39" i="27"/>
  <c r="H39" i="27"/>
  <c r="J39" i="27" s="1"/>
  <c r="Q38" i="27"/>
  <c r="T38" i="27" s="1"/>
  <c r="P38" i="27"/>
  <c r="R38" i="27" s="1"/>
  <c r="I38" i="27"/>
  <c r="H38" i="27"/>
  <c r="J38" i="27" s="1"/>
  <c r="L38" i="27"/>
  <c r="G38" i="27"/>
  <c r="F38" i="27"/>
  <c r="E38" i="27"/>
  <c r="D38" i="27"/>
  <c r="Q37" i="27"/>
  <c r="I37" i="27"/>
  <c r="P37" i="27"/>
  <c r="H37" i="27"/>
  <c r="J37" i="27" s="1"/>
  <c r="L37" i="27"/>
  <c r="G37" i="27"/>
  <c r="F37" i="27"/>
  <c r="E37" i="27"/>
  <c r="D37" i="27"/>
  <c r="Q36" i="27"/>
  <c r="P36" i="27"/>
  <c r="H36" i="27"/>
  <c r="J36" i="27" s="1"/>
  <c r="I36" i="27"/>
  <c r="L36" i="27"/>
  <c r="G36" i="27"/>
  <c r="F36" i="27"/>
  <c r="E36" i="27"/>
  <c r="D36" i="27"/>
  <c r="L35" i="27"/>
  <c r="D35" i="27"/>
  <c r="G35" i="27"/>
  <c r="F35" i="27"/>
  <c r="E35" i="27"/>
  <c r="H35" i="27"/>
  <c r="J35" i="27" s="1"/>
  <c r="Q34" i="27"/>
  <c r="I34" i="27"/>
  <c r="P34" i="27"/>
  <c r="H34" i="27"/>
  <c r="J34" i="27" s="1"/>
  <c r="L34" i="27"/>
  <c r="G34" i="27"/>
  <c r="F34" i="27"/>
  <c r="E34" i="27"/>
  <c r="D34" i="27"/>
  <c r="Q33" i="27"/>
  <c r="I33" i="27"/>
  <c r="P33" i="27"/>
  <c r="H33" i="27"/>
  <c r="L33" i="27"/>
  <c r="G33" i="27"/>
  <c r="F33" i="27"/>
  <c r="E33" i="27"/>
  <c r="D33" i="27"/>
  <c r="Q32" i="27"/>
  <c r="I32" i="27"/>
  <c r="P32" i="27"/>
  <c r="H32" i="27"/>
  <c r="J32" i="27" s="1"/>
  <c r="L32" i="27"/>
  <c r="G32" i="27"/>
  <c r="F32" i="27"/>
  <c r="E32" i="27"/>
  <c r="D32" i="27"/>
  <c r="L31" i="27"/>
  <c r="D31" i="27"/>
  <c r="G31" i="27"/>
  <c r="F31" i="27"/>
  <c r="E31" i="27"/>
  <c r="I31" i="27"/>
  <c r="H31" i="27"/>
  <c r="J31" i="27" s="1"/>
  <c r="Q30" i="27"/>
  <c r="I30" i="27"/>
  <c r="P30" i="27"/>
  <c r="R30" i="27" s="1"/>
  <c r="H30" i="27"/>
  <c r="J30" i="27" s="1"/>
  <c r="L30" i="27"/>
  <c r="G30" i="27"/>
  <c r="F30" i="27"/>
  <c r="E30" i="27"/>
  <c r="D30" i="27"/>
  <c r="Q29" i="27"/>
  <c r="I29" i="27"/>
  <c r="P29" i="27"/>
  <c r="R29" i="27" s="1"/>
  <c r="H29" i="27"/>
  <c r="J29" i="27" s="1"/>
  <c r="L29" i="27"/>
  <c r="G29" i="27"/>
  <c r="F29" i="27"/>
  <c r="E29" i="27"/>
  <c r="D29" i="27"/>
  <c r="Q28" i="27"/>
  <c r="P28" i="27"/>
  <c r="I28" i="27"/>
  <c r="H28" i="27"/>
  <c r="J28" i="27" s="1"/>
  <c r="L28" i="27"/>
  <c r="G28" i="27"/>
  <c r="F28" i="27"/>
  <c r="E28" i="27"/>
  <c r="D28" i="27"/>
  <c r="L27" i="27"/>
  <c r="D27" i="27"/>
  <c r="G27" i="27"/>
  <c r="F27" i="27"/>
  <c r="E27" i="27"/>
  <c r="H27" i="27"/>
  <c r="J27" i="27" s="1"/>
  <c r="Q26" i="27"/>
  <c r="P26" i="27"/>
  <c r="H26" i="27"/>
  <c r="J26" i="27" s="1"/>
  <c r="I26" i="27"/>
  <c r="L26" i="27"/>
  <c r="G26" i="27"/>
  <c r="F26" i="27"/>
  <c r="E26" i="27"/>
  <c r="D26" i="27"/>
  <c r="Q25" i="27"/>
  <c r="T25" i="27" s="1"/>
  <c r="I25" i="27"/>
  <c r="P25" i="27"/>
  <c r="R25" i="27" s="1"/>
  <c r="H25" i="27"/>
  <c r="J25" i="27" s="1"/>
  <c r="L25" i="27"/>
  <c r="G25" i="27"/>
  <c r="F25" i="27"/>
  <c r="E25" i="27"/>
  <c r="D25" i="27"/>
  <c r="Q24" i="27"/>
  <c r="I24" i="27"/>
  <c r="P24" i="27"/>
  <c r="H24" i="27"/>
  <c r="J24" i="27" s="1"/>
  <c r="L24" i="27"/>
  <c r="G24" i="27"/>
  <c r="F24" i="27"/>
  <c r="E24" i="27"/>
  <c r="D24" i="27"/>
  <c r="L23" i="27"/>
  <c r="D23" i="27"/>
  <c r="G23" i="27"/>
  <c r="F23" i="27"/>
  <c r="E23" i="27"/>
  <c r="H23" i="27"/>
  <c r="J23" i="27" s="1"/>
  <c r="Q22" i="27"/>
  <c r="P22" i="27"/>
  <c r="R22" i="27" s="1"/>
  <c r="I22" i="27"/>
  <c r="I19" i="27"/>
  <c r="I20" i="27"/>
  <c r="I21" i="27"/>
  <c r="H22" i="27"/>
  <c r="J22" i="27" s="1"/>
  <c r="L22" i="27"/>
  <c r="G22" i="27"/>
  <c r="F22" i="27"/>
  <c r="E22" i="27"/>
  <c r="D22" i="27"/>
  <c r="Q21" i="27"/>
  <c r="P21" i="27"/>
  <c r="H21" i="27"/>
  <c r="J21" i="27" s="1"/>
  <c r="L21" i="27"/>
  <c r="G21" i="27"/>
  <c r="F21" i="27"/>
  <c r="E21" i="27"/>
  <c r="D21" i="27"/>
  <c r="Q20" i="27"/>
  <c r="P20" i="27"/>
  <c r="R20" i="27" s="1"/>
  <c r="H20" i="27"/>
  <c r="J20" i="27" s="1"/>
  <c r="L20" i="27"/>
  <c r="G20" i="27"/>
  <c r="F20" i="27"/>
  <c r="E20" i="27"/>
  <c r="D20" i="27"/>
  <c r="L19" i="27"/>
  <c r="D19" i="27"/>
  <c r="G19" i="27"/>
  <c r="F19" i="27"/>
  <c r="E19" i="27"/>
  <c r="Q18" i="27"/>
  <c r="I18" i="27"/>
  <c r="P18" i="27"/>
  <c r="H18" i="27"/>
  <c r="J18" i="27" s="1"/>
  <c r="L18" i="27"/>
  <c r="G18" i="27"/>
  <c r="F18" i="27"/>
  <c r="E18" i="27"/>
  <c r="D18" i="27"/>
  <c r="Q17" i="27"/>
  <c r="I17" i="27"/>
  <c r="P17" i="27"/>
  <c r="H17" i="27"/>
  <c r="J17" i="27" s="1"/>
  <c r="L17" i="27"/>
  <c r="G17" i="27"/>
  <c r="F17" i="27"/>
  <c r="E17" i="27"/>
  <c r="D17" i="27"/>
  <c r="Q16" i="27"/>
  <c r="I16" i="27"/>
  <c r="P16" i="27"/>
  <c r="H16" i="27"/>
  <c r="J16" i="27" s="1"/>
  <c r="L16" i="27"/>
  <c r="G16" i="27"/>
  <c r="F16" i="27"/>
  <c r="E16" i="27"/>
  <c r="D16" i="27"/>
  <c r="L15" i="27"/>
  <c r="D15" i="27"/>
  <c r="G15" i="27"/>
  <c r="F15" i="27"/>
  <c r="E15" i="27"/>
  <c r="I15" i="27"/>
  <c r="H15" i="27"/>
  <c r="J15" i="27" s="1"/>
  <c r="D3" i="27"/>
  <c r="E3" i="27"/>
  <c r="F3" i="27"/>
  <c r="G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Q5" i="27"/>
  <c r="Q6" i="27"/>
  <c r="Q8" i="27"/>
  <c r="Q9" i="27"/>
  <c r="Q10" i="27"/>
  <c r="I10" i="27"/>
  <c r="Q12" i="27"/>
  <c r="Q13" i="27"/>
  <c r="I13" i="27"/>
  <c r="Q14" i="27"/>
  <c r="P4" i="27"/>
  <c r="H4" i="27"/>
  <c r="P5" i="27"/>
  <c r="R5" i="27" s="1"/>
  <c r="P6" i="27"/>
  <c r="R6" i="27" s="1"/>
  <c r="P8" i="27"/>
  <c r="R8" i="27" s="1"/>
  <c r="P9" i="27"/>
  <c r="R9" i="27" s="1"/>
  <c r="P10" i="27"/>
  <c r="R10" i="27" s="1"/>
  <c r="P12" i="27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4" i="25"/>
  <c r="J33" i="27"/>
  <c r="J20" i="25"/>
  <c r="J12" i="25"/>
  <c r="J24" i="25"/>
  <c r="J8" i="25"/>
  <c r="J36" i="25"/>
  <c r="J50" i="20"/>
  <c r="J45" i="20"/>
  <c r="J48" i="25"/>
  <c r="J3" i="29"/>
  <c r="J25" i="25"/>
  <c r="J63" i="20"/>
  <c r="J37" i="25"/>
  <c r="S44" i="25"/>
  <c r="J30" i="25"/>
  <c r="J13" i="20"/>
  <c r="J59" i="25"/>
  <c r="S62" i="29"/>
  <c r="S47" i="25"/>
  <c r="J55" i="20"/>
  <c r="J42" i="20"/>
  <c r="J3" i="25"/>
  <c r="J47" i="20"/>
  <c r="S53" i="25"/>
  <c r="R57" i="25"/>
  <c r="S9" i="29"/>
  <c r="T57" i="29"/>
  <c r="J48" i="29"/>
  <c r="R56" i="25"/>
  <c r="T57" i="25"/>
  <c r="S31" i="29"/>
  <c r="M12" i="30" s="1"/>
  <c r="S50" i="29"/>
  <c r="J31" i="29"/>
  <c r="J42" i="29"/>
  <c r="J22" i="25"/>
  <c r="J33" i="25"/>
  <c r="T59" i="29"/>
  <c r="T79" i="29" s="1"/>
  <c r="N28" i="30" s="1"/>
  <c r="J48" i="27"/>
  <c r="J10" i="25"/>
  <c r="J61" i="29"/>
  <c r="J4" i="25"/>
  <c r="R25" i="29"/>
  <c r="W3" i="27"/>
  <c r="AA67" i="29"/>
  <c r="W71" i="27"/>
  <c r="V7" i="29"/>
  <c r="AA11" i="27"/>
  <c r="W3" i="29"/>
  <c r="V63" i="25"/>
  <c r="V23" i="25"/>
  <c r="X43" i="25"/>
  <c r="V23" i="20"/>
  <c r="V67" i="29"/>
  <c r="AA31" i="29"/>
  <c r="Y11" i="20"/>
  <c r="Z27" i="27"/>
  <c r="Y71" i="27"/>
  <c r="Z71" i="25"/>
  <c r="X11" i="29"/>
  <c r="V63" i="27"/>
  <c r="X31" i="27"/>
  <c r="X39" i="25"/>
  <c r="V55" i="25"/>
  <c r="X43" i="29"/>
  <c r="Z7" i="29"/>
  <c r="AA43" i="25"/>
  <c r="X59" i="29"/>
  <c r="AA35" i="27"/>
  <c r="X19" i="27"/>
  <c r="AA51" i="25"/>
  <c r="X59" i="20"/>
  <c r="V31" i="29"/>
  <c r="Y7" i="20"/>
  <c r="AA11" i="25"/>
  <c r="V3" i="27"/>
  <c r="W15" i="25"/>
  <c r="AA55" i="29"/>
  <c r="V39" i="27"/>
  <c r="Y11" i="29"/>
  <c r="W59" i="27"/>
  <c r="W67" i="20"/>
  <c r="X39" i="27"/>
  <c r="Z67" i="25"/>
  <c r="Y63" i="29"/>
  <c r="W63" i="20"/>
  <c r="Y27" i="29"/>
  <c r="Z47" i="27"/>
  <c r="W11" i="25"/>
  <c r="V59" i="27"/>
  <c r="Z19" i="29"/>
  <c r="Z35" i="20"/>
  <c r="AA43" i="27"/>
  <c r="Y51" i="29"/>
  <c r="V43" i="20"/>
  <c r="V51" i="29"/>
  <c r="Y15" i="29"/>
  <c r="Z7" i="27"/>
  <c r="V63" i="20"/>
  <c r="Y23" i="27"/>
  <c r="V7" i="25"/>
  <c r="Y59" i="20"/>
  <c r="Z3" i="27"/>
  <c r="V19" i="27"/>
  <c r="X23" i="25"/>
  <c r="W71" i="20"/>
  <c r="W11" i="20"/>
  <c r="W55" i="27"/>
  <c r="Z55" i="29"/>
  <c r="Y71" i="20"/>
  <c r="Y39" i="25"/>
  <c r="AA11" i="29"/>
  <c r="Z51" i="20"/>
  <c r="W43" i="29"/>
  <c r="Y59" i="25"/>
  <c r="X67" i="25"/>
  <c r="Y23" i="25"/>
  <c r="X31" i="29"/>
  <c r="Y3" i="29"/>
  <c r="Z27" i="29"/>
  <c r="Y71" i="29"/>
  <c r="X15" i="27"/>
  <c r="X55" i="20"/>
  <c r="X43" i="27"/>
  <c r="Z63" i="29"/>
  <c r="W63" i="25"/>
  <c r="X19" i="29"/>
  <c r="X3" i="27"/>
  <c r="AA7" i="29"/>
  <c r="X7" i="29"/>
  <c r="AA59" i="25"/>
  <c r="Y11" i="27"/>
  <c r="V31" i="25"/>
  <c r="AA63" i="25"/>
  <c r="V11" i="25"/>
  <c r="W23" i="20"/>
  <c r="AA67" i="20"/>
  <c r="V3" i="29"/>
  <c r="Y31" i="27"/>
  <c r="Y35" i="20"/>
  <c r="AA51" i="29"/>
  <c r="X59" i="27"/>
  <c r="AA23" i="27"/>
  <c r="W27" i="29"/>
  <c r="Y59" i="27"/>
  <c r="W71" i="29"/>
  <c r="V31" i="27"/>
  <c r="AA27" i="27"/>
  <c r="Y55" i="25"/>
  <c r="Y19" i="25"/>
  <c r="W7" i="20"/>
  <c r="AA19" i="20"/>
  <c r="AA47" i="25"/>
  <c r="AA43" i="20"/>
  <c r="Y27" i="25"/>
  <c r="AA7" i="20"/>
  <c r="V35" i="29"/>
  <c r="Z71" i="27"/>
  <c r="V67" i="27"/>
  <c r="AA35" i="29"/>
  <c r="Z19" i="25"/>
  <c r="Z51" i="25"/>
  <c r="V3" i="25"/>
  <c r="W43" i="20"/>
  <c r="AA15" i="29"/>
  <c r="V71" i="20"/>
  <c r="Z71" i="20"/>
  <c r="Y63" i="27"/>
  <c r="X31" i="20"/>
  <c r="X55" i="29"/>
  <c r="AA3" i="25"/>
  <c r="X71" i="27"/>
  <c r="AA47" i="27"/>
  <c r="Y27" i="20"/>
  <c r="W15" i="29"/>
  <c r="Y47" i="20"/>
  <c r="Z7" i="25"/>
  <c r="V51" i="20"/>
  <c r="AA35" i="25"/>
  <c r="X3" i="25"/>
  <c r="Z23" i="25"/>
  <c r="Z27" i="25"/>
  <c r="V43" i="25"/>
  <c r="V43" i="27"/>
  <c r="V59" i="29"/>
  <c r="AA3" i="29"/>
  <c r="Z35" i="27"/>
  <c r="AA47" i="29"/>
  <c r="V27" i="29"/>
  <c r="V47" i="25"/>
  <c r="V39" i="20"/>
  <c r="Y35" i="27"/>
  <c r="X55" i="27"/>
  <c r="X55" i="25"/>
  <c r="Z43" i="27"/>
  <c r="X3" i="20"/>
  <c r="Y31" i="25"/>
  <c r="W51" i="20"/>
  <c r="W23" i="27"/>
  <c r="W39" i="27"/>
  <c r="Y47" i="25"/>
  <c r="V19" i="25"/>
  <c r="X71" i="20"/>
  <c r="AA43" i="29"/>
  <c r="Z35" i="25"/>
  <c r="Z39" i="20"/>
  <c r="W67" i="29"/>
  <c r="Z55" i="27"/>
  <c r="W35" i="29"/>
  <c r="AA11" i="20"/>
  <c r="Y43" i="29"/>
  <c r="X31" i="25"/>
  <c r="X63" i="20"/>
  <c r="AA39" i="20"/>
  <c r="W11" i="29"/>
  <c r="Y71" i="25"/>
  <c r="W39" i="25"/>
  <c r="W51" i="27"/>
  <c r="V27" i="20"/>
  <c r="V15" i="25"/>
  <c r="W31" i="20"/>
  <c r="V47" i="29"/>
  <c r="X71" i="29"/>
  <c r="W39" i="20"/>
  <c r="X27" i="27"/>
  <c r="X27" i="25"/>
  <c r="Z39" i="27"/>
  <c r="W59" i="29"/>
  <c r="Z23" i="20"/>
  <c r="V47" i="27"/>
  <c r="Y7" i="25"/>
  <c r="Y67" i="20"/>
  <c r="Y3" i="25"/>
  <c r="Z35" i="29"/>
  <c r="Z63" i="27"/>
  <c r="W55" i="25"/>
  <c r="Z51" i="27"/>
  <c r="Z23" i="29"/>
  <c r="AA19" i="25"/>
  <c r="X39" i="20"/>
  <c r="Z11" i="29"/>
  <c r="X59" i="25"/>
  <c r="Y23" i="29"/>
  <c r="X67" i="29"/>
  <c r="V15" i="27"/>
  <c r="AA27" i="20"/>
  <c r="X51" i="27"/>
  <c r="X63" i="25"/>
  <c r="W27" i="25"/>
  <c r="X7" i="25"/>
  <c r="Z19" i="20"/>
  <c r="Y15" i="20"/>
  <c r="X47" i="25"/>
  <c r="X19" i="25"/>
  <c r="Z47" i="29"/>
  <c r="W11" i="27"/>
  <c r="AA7" i="25"/>
  <c r="Y43" i="25"/>
  <c r="Z11" i="20"/>
  <c r="Y63" i="20"/>
  <c r="Y51" i="20"/>
  <c r="AA59" i="29"/>
  <c r="V71" i="27"/>
  <c r="Z43" i="20"/>
  <c r="V31" i="20"/>
  <c r="V43" i="29"/>
  <c r="X35" i="29"/>
  <c r="W47" i="25"/>
  <c r="Z3" i="25"/>
  <c r="X23" i="20"/>
  <c r="V7" i="20"/>
  <c r="V55" i="20"/>
  <c r="W15" i="20"/>
  <c r="AA27" i="29"/>
  <c r="Z67" i="27"/>
  <c r="W67" i="27"/>
  <c r="AA31" i="20"/>
  <c r="X15" i="29"/>
  <c r="X71" i="25"/>
  <c r="Z55" i="25"/>
  <c r="Y19" i="27"/>
  <c r="Y15" i="27"/>
  <c r="V55" i="27"/>
  <c r="V7" i="27"/>
  <c r="Y43" i="20"/>
  <c r="X47" i="20"/>
  <c r="Z43" i="25"/>
  <c r="V59" i="25"/>
  <c r="Y23" i="20"/>
  <c r="Z11" i="25"/>
  <c r="Y55" i="20"/>
  <c r="Z15" i="25"/>
  <c r="Z47" i="20"/>
  <c r="Z23" i="27"/>
  <c r="AA67" i="25"/>
  <c r="Z31" i="29"/>
  <c r="V67" i="25"/>
  <c r="V19" i="29"/>
  <c r="V51" i="27"/>
  <c r="W35" i="27"/>
  <c r="Y11" i="25"/>
  <c r="W7" i="27"/>
  <c r="W27" i="27"/>
  <c r="AA63" i="29"/>
  <c r="Y67" i="29"/>
  <c r="W7" i="25"/>
  <c r="Y59" i="29"/>
  <c r="V55" i="29"/>
  <c r="AA39" i="25"/>
  <c r="AA71" i="25"/>
  <c r="V47" i="20"/>
  <c r="W47" i="29"/>
  <c r="AA19" i="29"/>
  <c r="V27" i="25"/>
  <c r="AA3" i="20"/>
  <c r="AA23" i="25"/>
  <c r="V15" i="20"/>
  <c r="W19" i="20"/>
  <c r="V67" i="20"/>
  <c r="W43" i="25"/>
  <c r="X35" i="25"/>
  <c r="Z59" i="20"/>
  <c r="AA7" i="27"/>
  <c r="W71" i="25"/>
  <c r="AA23" i="20"/>
  <c r="W51" i="25"/>
  <c r="V35" i="27"/>
  <c r="X47" i="29"/>
  <c r="V71" i="29"/>
  <c r="Y67" i="27"/>
  <c r="X11" i="20"/>
  <c r="W7" i="29"/>
  <c r="W15" i="27"/>
  <c r="Z47" i="25"/>
  <c r="Z59" i="25"/>
  <c r="Y39" i="29"/>
  <c r="AA63" i="27"/>
  <c r="X3" i="29"/>
  <c r="Z39" i="25"/>
  <c r="W67" i="25"/>
  <c r="V59" i="20"/>
  <c r="X67" i="27"/>
  <c r="Y7" i="29"/>
  <c r="Z51" i="29"/>
  <c r="X43" i="20"/>
  <c r="Z71" i="29"/>
  <c r="V39" i="25"/>
  <c r="W43" i="27"/>
  <c r="W63" i="27"/>
  <c r="AA67" i="27"/>
  <c r="W39" i="29"/>
  <c r="Z39" i="29"/>
  <c r="Z59" i="27"/>
  <c r="Z11" i="27"/>
  <c r="V15" i="29"/>
  <c r="W55" i="29"/>
  <c r="V19" i="20"/>
  <c r="W59" i="25"/>
  <c r="Z67" i="29"/>
  <c r="Y43" i="27"/>
  <c r="V39" i="29"/>
  <c r="Z31" i="27"/>
  <c r="X39" i="29"/>
  <c r="V51" i="25"/>
  <c r="X15" i="20"/>
  <c r="Y51" i="25"/>
  <c r="W47" i="20"/>
  <c r="Z3" i="29"/>
  <c r="W19" i="25"/>
  <c r="X51" i="29"/>
  <c r="Z67" i="20"/>
  <c r="X23" i="29"/>
  <c r="X63" i="29"/>
  <c r="AA15" i="25"/>
  <c r="V35" i="25"/>
  <c r="Y7" i="27"/>
  <c r="AA71" i="27"/>
  <c r="Y47" i="29"/>
  <c r="V11" i="27"/>
  <c r="W3" i="25"/>
  <c r="X63" i="27"/>
  <c r="W63" i="29"/>
  <c r="W3" i="20"/>
  <c r="V27" i="27"/>
  <c r="Y31" i="20"/>
  <c r="W23" i="29"/>
  <c r="X67" i="20"/>
  <c r="AA51" i="20"/>
  <c r="AA71" i="20"/>
  <c r="Y67" i="25"/>
  <c r="Z63" i="25"/>
  <c r="AA39" i="29"/>
  <c r="Z15" i="27"/>
  <c r="V23" i="29"/>
  <c r="AA59" i="27"/>
  <c r="Y55" i="29"/>
  <c r="AA55" i="27"/>
  <c r="X11" i="27"/>
  <c r="Z3" i="20"/>
  <c r="V71" i="25"/>
  <c r="Y39" i="27"/>
  <c r="X35" i="20"/>
  <c r="W47" i="27"/>
  <c r="Y3" i="20"/>
  <c r="X11" i="25"/>
  <c r="AA31" i="25"/>
  <c r="Z7" i="20"/>
  <c r="Z55" i="20"/>
  <c r="AA55" i="20"/>
  <c r="Y63" i="25"/>
  <c r="Y3" i="27"/>
  <c r="Y19" i="29"/>
  <c r="AA35" i="20"/>
  <c r="Z15" i="20"/>
  <c r="Z19" i="27"/>
  <c r="Y19" i="20"/>
  <c r="X51" i="20"/>
  <c r="Z43" i="29"/>
  <c r="AA3" i="27"/>
  <c r="V35" i="20"/>
  <c r="V63" i="29"/>
  <c r="V11" i="29"/>
  <c r="V3" i="20"/>
  <c r="X15" i="25"/>
  <c r="AA31" i="27"/>
  <c r="Z31" i="20"/>
  <c r="X27" i="20"/>
  <c r="Y15" i="25"/>
  <c r="X7" i="20"/>
  <c r="AA63" i="20"/>
  <c r="W55" i="20"/>
  <c r="W59" i="20"/>
  <c r="W51" i="29"/>
  <c r="W31" i="25"/>
  <c r="Y35" i="29"/>
  <c r="AA15" i="27"/>
  <c r="AA51" i="27"/>
  <c r="Y35" i="25"/>
  <c r="Z27" i="20"/>
  <c r="Z63" i="20"/>
  <c r="AA19" i="27"/>
  <c r="AA15" i="20"/>
  <c r="Z31" i="25"/>
  <c r="X47" i="27"/>
  <c r="W27" i="20"/>
  <c r="X23" i="27"/>
  <c r="W31" i="27"/>
  <c r="W19" i="29"/>
  <c r="AA55" i="25"/>
  <c r="Y55" i="27"/>
  <c r="X19" i="20"/>
  <c r="W35" i="25"/>
  <c r="W23" i="25"/>
  <c r="AA27" i="25"/>
  <c r="Y27" i="27"/>
  <c r="AA59" i="20"/>
  <c r="Z59" i="29"/>
  <c r="W35" i="20"/>
  <c r="X35" i="27"/>
  <c r="Y47" i="27"/>
  <c r="X27" i="29"/>
  <c r="X51" i="25"/>
  <c r="W31" i="29"/>
  <c r="AA23" i="29"/>
  <c r="W19" i="27"/>
  <c r="Z15" i="29"/>
  <c r="Y39" i="20"/>
  <c r="Y31" i="29"/>
  <c r="X7" i="27"/>
  <c r="AA71" i="29"/>
  <c r="AA39" i="27"/>
  <c r="V11" i="20"/>
  <c r="AA47" i="20"/>
  <c r="V23" i="27"/>
  <c r="Y51" i="27"/>
  <c r="T31" i="27" l="1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N42" i="30" l="1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P3" i="10"/>
  <c r="AN3" i="10"/>
  <c r="AF3" i="10"/>
  <c r="AD3" i="10"/>
  <c r="AQ3" i="10"/>
  <c r="AG3" i="10"/>
  <c r="AE3" i="10"/>
  <c r="AK3" i="10"/>
  <c r="AL3" i="10"/>
  <c r="AJ3" i="10"/>
  <c r="AI3" i="10"/>
  <c r="AO3" i="10"/>
  <c r="G53" i="30" l="1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O4" i="10"/>
  <c r="AG4" i="10"/>
  <c r="AD4" i="10"/>
  <c r="AF4" i="10"/>
  <c r="AJ4" i="10"/>
  <c r="AI4" i="10"/>
  <c r="AK4" i="10"/>
  <c r="AL4" i="10"/>
  <c r="AQ4" i="10"/>
  <c r="AE4" i="10"/>
  <c r="AP4" i="10"/>
  <c r="AN4" i="10"/>
  <c r="AC6" i="10" l="1"/>
  <c r="AQ5" i="10"/>
  <c r="AP6" i="10"/>
  <c r="AJ5" i="10"/>
  <c r="AO6" i="10"/>
  <c r="AJ6" i="10"/>
  <c r="AK5" i="10"/>
  <c r="AF5" i="10"/>
  <c r="AL5" i="10"/>
  <c r="AQ6" i="10"/>
  <c r="AG6" i="10"/>
  <c r="AK6" i="10"/>
  <c r="AP5" i="10"/>
  <c r="AN5" i="10"/>
  <c r="AD6" i="10"/>
  <c r="AI6" i="10"/>
  <c r="AI5" i="10"/>
  <c r="AL6" i="10"/>
  <c r="AF6" i="10"/>
  <c r="AD5" i="10"/>
  <c r="AG5" i="10"/>
  <c r="AE5" i="10"/>
  <c r="AO5" i="10"/>
  <c r="AE6" i="10"/>
  <c r="AN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<sst xmlns="http://schemas.openxmlformats.org/spreadsheetml/2006/main" count="974" uniqueCount="408">
  <si>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</si>
  <si>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</si>
  <si>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</si>
  <si>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</si>
  <si>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</si>
  <si>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</si>
  <si>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</si>
  <si>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</si>
  <si>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</si>
  <si>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</si>
  <si>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</si>
  <si>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</si>
  <si>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</si>
  <si>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</si>
  <si>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</si>
  <si>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</si>
  <si>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</si>
  <si>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</si>
  <si>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</si>
  <si>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</si>
  <si>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</si>
  <si>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</si>
  <si>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</si>
  <si>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</si>
  <si>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</si>
  <si>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</si>
  <si>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</si>
  <si>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</si>
  <si>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</si>
  <si>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</si>
  <si>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</si>
  <si>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</si>
  <si>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</si>
  <si>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</si>
  <si>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</si>
  <si>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</si>
  <si>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</si>
  <si>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</si>
  <si>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</si>
  <si>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</si>
  <si>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</si>
  <si>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</si>
  <si>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</si>
  <si>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</si>
  <si>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</si>
  <si>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</si>
  <si>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</si>
  <si>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</si>
  <si>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</si>
  <si>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</si>
  <si>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</si>
  <si>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</si>
  <si>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</si>
  <si>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</si>
  <si>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</si>
  <si>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</si>
  <si>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</si>
  <si>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</si>
  <si>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</si>
  <si>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</si>
  <si>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</si>
  <si>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</si>
  <si>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</si>
  <si>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</si>
  <si>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</si>
  <si>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</si>
  <si>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</si>
  <si>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</si>
  <si>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</si>
  <si>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</si>
  <si>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</si>
  <si>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</si>
  <si>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</si>
  <si>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</si>
  <si>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</si>
  <si>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</si>
  <si>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</si>
  <si>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</si>
  <si>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</si>
  <si>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</si>
  <si>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</si>
  <si>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</si>
  <si>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</si>
  <si>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</si>
  <si>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</si>
  <si>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</si>
  <si>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</si>
  <si>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</si>
  <si>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</si>
  <si>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</si>
  <si>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</si>
  <si>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</si>
  <si>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</si>
  <si>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</si>
  <si>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</si>
  <si>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</si>
  <si>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</si>
  <si>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</si>
  <si>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</si>
  <si>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</si>
  <si>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</si>
  <si>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</si>
  <si>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</si>
  <si>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</si>
  <si>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</si>
  <si>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</si>
  <si>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</si>
  <si>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</si>
  <si>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</si>
  <si>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</si>
  <si>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</si>
  <si>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</si>
  <si>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</si>
  <si>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</si>
  <si>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</si>
  <si>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</si>
  <si>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</si>
  <si>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</si>
  <si>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</si>
  <si>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</si>
  <si>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</si>
  <si>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</si>
  <si>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</si>
  <si>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</si>
  <si>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</si>
  <si>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</si>
  <si>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</si>
  <si>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</si>
  <si>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</si>
  <si>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</si>
  <si>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</si>
  <si>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</si>
  <si>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</si>
  <si>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</si>
  <si>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</si>
  <si>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</si>
  <si>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</si>
  <si>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</si>
  <si>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</si>
  <si>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</si>
  <si>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</si>
  <si>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</si>
  <si>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</si>
  <si>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</si>
  <si>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</si>
  <si>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</si>
  <si>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</si>
  <si>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</si>
  <si>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</si>
  <si>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</si>
  <si>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</si>
  <si>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</si>
  <si>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</si>
  <si>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</si>
  <si>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</si>
  <si>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</si>
  <si>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</si>
  <si>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</si>
  <si>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</si>
  <si>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</si>
  <si>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</si>
  <si>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</si>
  <si>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</si>
  <si>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</si>
  <si>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</si>
  <si>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</si>
  <si>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</si>
  <si>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</si>
  <si>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</si>
  <si>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</si>
  <si>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</si>
  <si>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</si>
  <si>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</si>
  <si>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</si>
  <si>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</si>
  <si>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</si>
  <si>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</si>
  <si>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</si>
  <si>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</si>
  <si>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</si>
  <si>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</si>
  <si>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</si>
  <si>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</si>
  <si>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</si>
  <si>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</si>
  <si>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</si>
  <si>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</si>
  <si>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</si>
  <si>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</si>
  <si>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</si>
  <si>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</si>
  <si>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</si>
  <si>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</si>
  <si>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</si>
  <si>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</si>
  <si>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</si>
  <si>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</si>
  <si>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</si>
  <si>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</si>
  <si>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</si>
  <si>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</si>
  <si>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</si>
  <si>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</si>
  <si>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</si>
  <si>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</si>
  <si>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</si>
  <si>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</si>
  <si>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</si>
  <si>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</si>
  <si>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</si>
  <si>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</si>
  <si>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</si>
  <si>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</si>
  <si>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</si>
  <si>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</si>
  <si>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</si>
  <si>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</si>
  <si>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</si>
  <si>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</si>
  <si>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</si>
  <si>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</si>
  <si>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</si>
  <si>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</si>
  <si>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</si>
  <si>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</si>
  <si>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</si>
  <si>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</si>
  <si>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</si>
  <si>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</si>
  <si>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</si>
  <si>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</si>
  <si>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</si>
  <si>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</si>
  <si>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</si>
  <si>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</si>
  <si>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</si>
  <si>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</si>
  <si>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</si>
  <si>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</si>
  <si>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</si>
  <si>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</si>
  <si>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</si>
  <si>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</si>
  <si>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</si>
  <si>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</si>
  <si>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</si>
  <si>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</si>
  <si>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</si>
  <si>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</si>
  <si>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</si>
  <si>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</si>
  <si>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</si>
  <si>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</si>
  <si>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</si>
  <si>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</si>
  <si>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</si>
  <si>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</si>
  <si>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</si>
  <si>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</si>
  <si>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</si>
  <si>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</si>
  <si>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</si>
  <si>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</si>
  <si>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</si>
  <si>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</si>
  <si>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</si>
  <si>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</si>
  <si>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</si>
  <si>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</si>
  <si>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</si>
  <si>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</si>
  <si>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</si>
  <si>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</si>
  <si>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</si>
  <si>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</si>
  <si>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</si>
  <si>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</si>
  <si>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</si>
  <si>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</si>
  <si>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</si>
  <si>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</si>
  <si>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</si>
  <si>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</si>
  <si>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</si>
  <si>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</si>
  <si>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</si>
  <si>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</si>
  <si>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</si>
  <si>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</si>
  <si>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</si>
  <si>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</si>
  <si>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</si>
  <si>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</si>
  <si>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</si>
  <si>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</si>
  <si>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</si>
  <si>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</si>
  <si>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</si>
  <si>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</si>
  <si>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</si>
  <si>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</si>
  <si>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</si>
  <si>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</si>
  <si>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</si>
  <si>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</si>
  <si>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</si>
  <si>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</si>
  <si>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</si>
  <si>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</si>
  <si>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</si>
  <si>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</si>
  <si>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</si>
  <si>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</si>
  <si>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</si>
  <si>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</si>
  <si>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</si>
  <si>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</si>
  <si>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</si>
  <si>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</si>
  <si>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</si>
  <si>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</si>
  <si>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</si>
  <si>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</si>
  <si>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</si>
  <si>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</si>
  <si>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</si>
  <si>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</si>
  <si>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</si>
  <si>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</si>
  <si>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</si>
  <si>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</si>
  <si>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</si>
  <si>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</si>
  <si>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</si>
  <si>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</si>
  <si>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</si>
  <si>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</si>
  <si>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</si>
  <si>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</si>
  <si>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</si>
  <si>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</si>
  <si>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</si>
  <si>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</si>
  <si>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</si>
  <si>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</si>
  <si>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</si>
  <si>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</si>
  <si>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</si>
  <si>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</si>
  <si>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</si>
  <si>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</si>
  <si>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</si>
  <si>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</si>
  <si>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</si>
  <si>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</si>
  <si>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</si>
  <si>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</si>
  <si>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</si>
  <si>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</si>
  <si>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</si>
  <si>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</si>
  <si>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</si>
  <si>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</si>
  <si>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</si>
  <si>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</si>
  <si>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</si>
  <si>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</si>
  <si>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</si>
  <si>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</si>
  <si>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</si>
  <si>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</si>
  <si>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</si>
  <si>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</si>
  <si>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</si>
  <si>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</si>
  <si>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</si>
  <si>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</si>
  <si>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</si>
  <si>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</si>
  <si>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</si>
  <si>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</si>
  <si>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</si>
  <si>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</si>
  <si>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</si>
  <si>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</si>
  <si>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</si>
  <si>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</si>
  <si>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</si>
  <si>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</si>
  <si>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</si>
  <si>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</si>
  <si>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</si>
  <si>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</si>
  <si>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</si>
  <si>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</si>
  <si>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</si>
  <si>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</si>
  <si>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</si>
  <si>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</si>
  <si>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</si>
  <si>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</si>
  <si>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</si>
  <si>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</si>
  <si>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</si>
  <si>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</si>
  <si>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</si>
  <si>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HPM8.1</t>
    <phoneticPr fontId="1" type="noConversion"/>
  </si>
  <si>
    <t>HPM9.0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</si>
</sst>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HPM9.0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HPM8.1</v>
      </c>
      <c r="D3" s="151"/>
      <c r="E3" s="151"/>
      <c r="F3" s="151"/>
      <c r="G3" s="152"/>
      <c r="I3" s="102"/>
      <c r="J3" s="150" t="str">
        <f>CONCATENATE("Over ", Summary!$J$3)</f>
        <v>Over HPM8.1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-3.8286678800725227E-4</v>
      </c>
      <c r="D5" s="112">
        <f>'AI-10'!$W$3</f>
        <v>8.4406101046985427E-5</v>
      </c>
      <c r="E5" s="113">
        <f>'AI-10'!$X$3</f>
        <v>-4.756931569669387E-4</v>
      </c>
      <c r="F5" s="114">
        <f>GEOMEAN('AI-10'!$S$3:'AI-10'!$S$6)</f>
        <v>1.0217409937658823</v>
      </c>
      <c r="G5" s="115">
        <f>GEOMEAN('AI-10'!$T$3:'AI-10'!$T$6)</f>
        <v>1.0477353900660109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 t="e">
        <f>'AI-10'!$V$7</f>
        <v>#VALUE!</v>
      </c>
      <c r="D6" s="118" t="e">
        <f>'AI-10'!$W$7</f>
        <v>#VALUE!</v>
      </c>
      <c r="E6" s="119" t="e">
        <f>'AI-10'!$X$7</f>
        <v>#VALUE!</v>
      </c>
      <c r="F6" s="120" t="e">
        <f>GEOMEAN('AI-10'!$S$7:'AI-10'!$S$10)</f>
        <v>#NUM!</v>
      </c>
      <c r="G6" s="121" t="e">
        <f>GEOMEAN('AI-10'!$T$7:'AI-10'!$T$10)</f>
        <v>#NUM!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 t="e">
        <f>'AI-10'!$V$11</f>
        <v>#VALUE!</v>
      </c>
      <c r="D7" s="118" t="e">
        <f>'AI-10'!$W$11</f>
        <v>#VALUE!</v>
      </c>
      <c r="E7" s="119" t="e">
        <f>'AI-10'!$X$11</f>
        <v>#VALUE!</v>
      </c>
      <c r="F7" s="130" t="e">
        <f>GEOMEAN('AI-10'!$S$11:'AI-10'!$S$14)</f>
        <v>#NUM!</v>
      </c>
      <c r="G7" s="121" t="e">
        <f>GEOMEAN('AI-10'!$T$11:'AI-10'!$T$14)</f>
        <v>#NUM!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 t="e">
        <f>'AI-10'!$V$15</f>
        <v>#VALUE!</v>
      </c>
      <c r="D8" s="124" t="e">
        <f>'AI-10'!$W$15</f>
        <v>#VALUE!</v>
      </c>
      <c r="E8" s="125" t="e">
        <f>'AI-10'!$X$15</f>
        <v>#VALUE!</v>
      </c>
      <c r="F8" s="126" t="e">
        <f>GEOMEAN('AI-10'!$S$15:'AI-10'!$S$18)</f>
        <v>#NUM!</v>
      </c>
      <c r="G8" s="127" t="e">
        <f>GEOMEAN('AI-10'!$T$15:'AI-10'!$T$18)</f>
        <v>#NUM!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-1.4130944119901123E-3</v>
      </c>
      <c r="D9" s="112">
        <f>'AI-10'!$W$19</f>
        <v>-3.0559926169239082E-3</v>
      </c>
      <c r="E9" s="113">
        <f>'AI-10'!$X$19</f>
        <v>-1.056685982608474E-2</v>
      </c>
      <c r="F9" s="114">
        <f>GEOMEAN('AI-10'!$S$19:'AI-10'!$S$22)</f>
        <v>1.0348985126190917</v>
      </c>
      <c r="G9" s="115">
        <f>GEOMEAN('AI-10'!$T$19:'AI-10'!$T$22)</f>
        <v>1.0575866248159302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-4.9197230745571252E-3</v>
      </c>
      <c r="D10" s="118">
        <f>'AI-10'!$W$23</f>
        <v>-4.7957883531791756E-3</v>
      </c>
      <c r="E10" s="119">
        <f>'AI-10'!$X$23</f>
        <v>-5.2699449960166289E-3</v>
      </c>
      <c r="F10" s="120">
        <f>GEOMEAN('AI-10'!$S$23:'AI-10'!$S$26)</f>
        <v>1.0456146421142631</v>
      </c>
      <c r="G10" s="121">
        <f>GEOMEAN('AI-10'!$T$23:'AI-10'!$T$26)</f>
        <v>1.0579320875824867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-2.0615583216707645E-3</v>
      </c>
      <c r="D11" s="118">
        <f>'AI-10'!$W$27</f>
        <v>4.5982742423955614E-5</v>
      </c>
      <c r="E11" s="119">
        <f>'AI-10'!$X$27</f>
        <v>-3.7646961399179224E-3</v>
      </c>
      <c r="F11" s="120">
        <f>GEOMEAN('AI-10'!$S$27:'AI-10'!$S$30)</f>
        <v>1.03272210236882</v>
      </c>
      <c r="G11" s="121">
        <f>GEOMEAN('AI-10'!$T$27:'AI-10'!$T$30)</f>
        <v>1.0499657956735311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-1.8422724080959796E-3</v>
      </c>
      <c r="D12" s="124">
        <f>'AI-10'!$W$31</f>
        <v>3.7416343768859051E-4</v>
      </c>
      <c r="E12" s="125">
        <f>'AI-10'!$X$31</f>
        <v>7.0810679736821314E-4</v>
      </c>
      <c r="F12" s="126">
        <f>GEOMEAN('AI-10'!$S$31:'AI-10'!$S$34)</f>
        <v>1.0332464789607441</v>
      </c>
      <c r="G12" s="127">
        <f>GEOMEAN('AI-10'!$T$31:'AI-10'!$T$34)</f>
        <v>1.0556561445584447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-3.7530800779979057E-3</v>
      </c>
      <c r="D13" s="112">
        <f>'AI-10'!$W$35</f>
        <v>-3.927237740664502E-3</v>
      </c>
      <c r="E13" s="113">
        <f>'AI-10'!$X$35</f>
        <v>-2.1039303348497906E-3</v>
      </c>
      <c r="F13" s="114">
        <f>GEOMEAN('AI-10'!$S$35:'AI-10'!$S$38)</f>
        <v>1.0357861977805951</v>
      </c>
      <c r="G13" s="115">
        <f>GEOMEAN('AI-10'!$T$35:'AI-10'!$T$38)</f>
        <v>1.0645767629476861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-2.8097085028891966E-3</v>
      </c>
      <c r="D14" s="118">
        <f>'AI-10'!$W$39</f>
        <v>-9.8565462793849257E-3</v>
      </c>
      <c r="E14" s="119">
        <f>'AI-10'!$X$39</f>
        <v>-1.1697221024224991E-3</v>
      </c>
      <c r="F14" s="120">
        <f>GEOMEAN('AI-10'!$S$39:'AI-10'!$S$42)</f>
        <v>1.0431148082410293</v>
      </c>
      <c r="G14" s="121">
        <f>GEOMEAN('AI-10'!$T$39:'AI-10'!$T$42)</f>
        <v>1.0563609967576519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-1.0276959383933582E-3</v>
      </c>
      <c r="D15" s="118">
        <f>'AI-10'!$W$43</f>
        <v>-2.1464225420612104E-3</v>
      </c>
      <c r="E15" s="119">
        <f>'AI-10'!$X$43</f>
        <v>2.0629996153143093E-3</v>
      </c>
      <c r="F15" s="120">
        <f>GEOMEAN('AI-10'!$S$43:'AI-10'!$S$46)</f>
        <v>1.0344455414812956</v>
      </c>
      <c r="G15" s="121">
        <f>GEOMEAN('AI-10'!$T$43:'AI-10'!$T$46)</f>
        <v>1.0467120756170696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-3.6251628608653386E-3</v>
      </c>
      <c r="D16" s="124">
        <f>'AI-10'!$W$47</f>
        <v>-1.4167004148780693E-3</v>
      </c>
      <c r="E16" s="125">
        <f>'AI-10'!$X$47</f>
        <v>-3.1641583167749676E-3</v>
      </c>
      <c r="F16" s="126">
        <f>GEOMEAN('AI-10'!$S$47:'AI-10'!$S$50)</f>
        <v>1.0360146301008366</v>
      </c>
      <c r="G16" s="127">
        <f>GEOMEAN('AI-10'!$T$47:'AI-10'!$T$50)</f>
        <v>1.0570644310308375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 t="e">
        <f>'AI-10'!$V75</f>
        <v>#VALUE!</v>
      </c>
      <c r="D23" s="112" t="e">
        <f>'AI-10'!$W75</f>
        <v>#VALUE!</v>
      </c>
      <c r="E23" s="113" t="e">
        <f>'AI-10'!$X75</f>
        <v>#VALUE!</v>
      </c>
      <c r="F23" s="128" t="e">
        <f>'AI-10'!$S75</f>
        <v>#NUM!</v>
      </c>
      <c r="G23" s="115" t="e">
        <f>'AI-10'!$T75</f>
        <v>#NUM!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-2.5591620540784954E-3</v>
      </c>
      <c r="D24" s="118">
        <f>'AI-10'!$W76</f>
        <v>-1.8579086974976344E-3</v>
      </c>
      <c r="E24" s="119">
        <f>'AI-10'!$X76</f>
        <v>-4.7233485411627696E-3</v>
      </c>
      <c r="F24" s="130">
        <f>'AI-10'!$S76</f>
        <v>1.0366071646935231</v>
      </c>
      <c r="G24" s="121">
        <f>'AI-10'!$T76</f>
        <v>1.0552803288988848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-2.8039118450364497E-3</v>
      </c>
      <c r="D25" s="118">
        <f>'AI-10'!$W77</f>
        <v>-4.3367267442471769E-3</v>
      </c>
      <c r="E25" s="119">
        <f>'AI-10'!$X77</f>
        <v>-1.093702784683237E-3</v>
      </c>
      <c r="F25" s="130">
        <f>'AI-10'!$S77</f>
        <v>1.0373347762758585</v>
      </c>
      <c r="G25" s="121">
        <f>'AI-10'!$T77</f>
        <v>1.0561594969281562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 t="e">
        <f>'AI-10'!$V80</f>
        <v>#VALUE!</v>
      </c>
      <c r="D26" s="137" t="e">
        <f>'AI-10'!$W80</f>
        <v>#VALUE!</v>
      </c>
      <c r="E26" s="136" t="e">
        <f>'AI-10'!$X80</f>
        <v>#VALUE!</v>
      </c>
      <c r="F26" s="135" t="e">
        <f>'AI-10'!$S80</f>
        <v>#NUM!</v>
      </c>
      <c r="G26" s="134" t="e">
        <f>'AI-10'!$T80</f>
        <v>#NUM!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HPM8.1</v>
      </c>
      <c r="D31" s="151"/>
      <c r="E31" s="151"/>
      <c r="F31" s="151"/>
      <c r="G31" s="152"/>
      <c r="I31" s="102"/>
      <c r="J31" s="150" t="str">
        <f>CONCATENATE("Over ", Summary!$J$3)</f>
        <v>Over HPM8.1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 t="e">
        <f>'RA-10'!$V$3</f>
        <v>#VALUE!</v>
      </c>
      <c r="D33" s="112" t="e">
        <f>'RA-10'!$W$3</f>
        <v>#VALUE!</v>
      </c>
      <c r="E33" s="113" t="e">
        <f>'RA-10'!$X$3</f>
        <v>#VALUE!</v>
      </c>
      <c r="F33" s="114" t="e">
        <f>GEOMEAN('RA-10'!$S$3:'RA-10'!$S$6)</f>
        <v>#NUM!</v>
      </c>
      <c r="G33" s="115" t="e">
        <f>GEOMEAN('RA-10'!$T$3:'RA-10'!$T$6)</f>
        <v>#NUM!</v>
      </c>
      <c r="I33" s="110" t="str">
        <f>'AI-10'!$B$3</f>
        <v>Tango2</v>
      </c>
      <c r="J33" s="111" t="e">
        <f>'LDB-10'!$V$3</f>
        <v>#VALUE!</v>
      </c>
      <c r="K33" s="112" t="e">
        <f>'LDB-10'!$W$3</f>
        <v>#VALUE!</v>
      </c>
      <c r="L33" s="113" t="e">
        <f>'LDB-10'!$X$3</f>
        <v>#VALUE!</v>
      </c>
      <c r="M33" s="114" t="e">
        <f>GEOMEAN('LDB-10'!$S$3:'LDB-10'!$S$6)</f>
        <v>#NUM!</v>
      </c>
      <c r="N33" s="115" t="e">
        <f>GEOMEAN('LDB-10'!$T$3:'LDB-10'!$T$6)</f>
        <v>#NUM!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#NUM!</v>
      </c>
      <c r="G34" s="121" t="e">
        <f>GEOMEAN('RA-10'!$T$7:'RA-10'!$T$10)</f>
        <v>#NUM!</v>
      </c>
      <c r="I34" s="116" t="str">
        <f>'AI-10'!$B$7</f>
        <v>ParkRunning3</v>
      </c>
      <c r="J34" s="117" t="e">
        <f>'LDB-10'!$V$7</f>
        <v>#VALUE!</v>
      </c>
      <c r="K34" s="118" t="e">
        <f>'LDB-10'!$W$7</f>
        <v>#VALUE!</v>
      </c>
      <c r="L34" s="119" t="e">
        <f>'LDB-10'!$X$7</f>
        <v>#VALUE!</v>
      </c>
      <c r="M34" s="120" t="e">
        <f>GEOMEAN('LDB-10'!$S$7:'LDB-10'!$S$10)</f>
        <v>#NUM!</v>
      </c>
      <c r="N34" s="121" t="e">
        <f>GEOMEAN('LDB-10'!$T$7:'LDB-10'!$T$10)</f>
        <v>#NUM!</v>
      </c>
    </row>
    <row r="35" spans="2:14" ht="12.75" customHeight="1" x14ac:dyDescent="0.2">
      <c r="B35" s="116" t="str">
        <f>'AI-10'!$B$11</f>
        <v>Campfire</v>
      </c>
      <c r="C35" s="117" t="e">
        <f>'RA-10'!$V$11</f>
        <v>#VALUE!</v>
      </c>
      <c r="D35" s="118" t="e">
        <f>'RA-10'!$W$11</f>
        <v>#VALUE!</v>
      </c>
      <c r="E35" s="119" t="e">
        <f>'RA-10'!$X$11</f>
        <v>#VALUE!</v>
      </c>
      <c r="F35" s="130" t="e">
        <f>GEOMEAN('RA-10'!$S$11:'RA-10'!$S$14)</f>
        <v>#NUM!</v>
      </c>
      <c r="G35" s="121" t="e">
        <f>GEOMEAN('RA-10'!$T$11:'RA-10'!$T$14)</f>
        <v>#NUM!</v>
      </c>
      <c r="I35" s="116" t="str">
        <f>'AI-10'!$B$11</f>
        <v>Campfire</v>
      </c>
      <c r="J35" s="117" t="e">
        <f>'LDB-10'!$V$11</f>
        <v>#VALUE!</v>
      </c>
      <c r="K35" s="118" t="e">
        <f>'LDB-10'!$W$11</f>
        <v>#VALUE!</v>
      </c>
      <c r="L35" s="119" t="e">
        <f>'LDB-10'!$X$11</f>
        <v>#VALUE!</v>
      </c>
      <c r="M35" s="130" t="e">
        <f>GEOMEAN('LDB-10'!$S$11:'LDB-10'!$S$14)</f>
        <v>#NUM!</v>
      </c>
      <c r="N35" s="121" t="e">
        <f>GEOMEAN('LDB-10'!$T$11:'LDB-10'!$T$14)</f>
        <v>#NUM!</v>
      </c>
    </row>
    <row r="36" spans="2:14" ht="12.75" customHeight="1" thickBot="1" x14ac:dyDescent="0.25">
      <c r="B36" s="122" t="str">
        <f>'AI-10'!$B$15</f>
        <v>DaylightRoad2</v>
      </c>
      <c r="C36" s="123" t="e">
        <f>'RA-10'!$V$15</f>
        <v>#VALUE!</v>
      </c>
      <c r="D36" s="124" t="e">
        <f>'RA-10'!$W$15</f>
        <v>#VALUE!</v>
      </c>
      <c r="E36" s="125" t="e">
        <f>'RA-10'!$X$15</f>
        <v>#VALUE!</v>
      </c>
      <c r="F36" s="126" t="e">
        <f>GEOMEAN('RA-10'!$S$15:'RA-10'!$S$18)</f>
        <v>#NUM!</v>
      </c>
      <c r="G36" s="127" t="e">
        <f>GEOMEAN('RA-10'!$T$15:'RA-10'!$T$18)</f>
        <v>#NUM!</v>
      </c>
      <c r="I36" s="122" t="str">
        <f>'AI-10'!$B$15</f>
        <v>DaylightRoad2</v>
      </c>
      <c r="J36" s="123" t="e">
        <f>'LDB-10'!$V$15</f>
        <v>#VALUE!</v>
      </c>
      <c r="K36" s="124" t="e">
        <f>'LDB-10'!$W$15</f>
        <v>#VALUE!</v>
      </c>
      <c r="L36" s="125" t="e">
        <f>'LDB-10'!$X$15</f>
        <v>#VALUE!</v>
      </c>
      <c r="M36" s="126" t="e">
        <f>GEOMEAN('LDB-10'!$S$15:'LDB-10'!$S$18)</f>
        <v>#NUM!</v>
      </c>
      <c r="N36" s="127" t="e">
        <f>GEOMEAN('LDB-10'!$T$15:'LDB-10'!$T$18)</f>
        <v>#NUM!</v>
      </c>
    </row>
    <row r="37" spans="2:14" ht="12.75" customHeight="1" x14ac:dyDescent="0.2">
      <c r="B37" s="110" t="str">
        <f>'AI-10'!$B$19</f>
        <v>Cactus</v>
      </c>
      <c r="C37" s="111">
        <f>'RA-10'!$V$19</f>
        <v>-3.5112463186024456E-3</v>
      </c>
      <c r="D37" s="112">
        <f>'RA-10'!$W$19</f>
        <v>-3.5614107496668712E-3</v>
      </c>
      <c r="E37" s="113">
        <f>'RA-10'!$X$19</f>
        <v>-4.1351916597746063E-3</v>
      </c>
      <c r="F37" s="114">
        <f>GEOMEAN('RA-10'!$S$19:'RA-10'!$S$22)</f>
        <v>1.0060548047485647</v>
      </c>
      <c r="G37" s="115">
        <f>GEOMEAN('RA-10'!$T$19:'RA-10'!$T$22)</f>
        <v>0.99397702714700464</v>
      </c>
      <c r="I37" s="110" t="str">
        <f>'AI-10'!$B$19</f>
        <v>Cactus</v>
      </c>
      <c r="J37" s="111" t="e">
        <f>'LDB-10'!$V$19</f>
        <v>#VALUE!</v>
      </c>
      <c r="K37" s="112" t="e">
        <f>'LDB-10'!$W$19</f>
        <v>#VALUE!</v>
      </c>
      <c r="L37" s="113" t="e">
        <f>'LDB-10'!$X$19</f>
        <v>#VALUE!</v>
      </c>
      <c r="M37" s="114" t="e">
        <f>GEOMEAN('LDB-10'!$S$19:'LDB-10'!$S$22)</f>
        <v>#NUM!</v>
      </c>
      <c r="N37" s="115" t="e">
        <f>GEOMEAN('LDB-10'!$T$19:'LDB-10'!$T$22)</f>
        <v>#NUM!</v>
      </c>
    </row>
    <row r="38" spans="2:14" ht="12.75" customHeight="1" x14ac:dyDescent="0.2">
      <c r="B38" s="116" t="str">
        <f>'AI-10'!$B$23</f>
        <v>BasketballDrive</v>
      </c>
      <c r="C38" s="117">
        <f>'RA-10'!$V$23</f>
        <v>-6.8118256196837423E-3</v>
      </c>
      <c r="D38" s="118">
        <f>'RA-10'!$W$23</f>
        <v>-1.5793014499335678E-3</v>
      </c>
      <c r="E38" s="119">
        <f>'RA-10'!$X$23</f>
        <v>8.4193245198149746E-4</v>
      </c>
      <c r="F38" s="120">
        <f>GEOMEAN('RA-10'!$S$23:'RA-10'!$S$26)</f>
        <v>1.0164880783547301</v>
      </c>
      <c r="G38" s="121">
        <f>GEOMEAN('RA-10'!$T$23:'RA-10'!$T$26)</f>
        <v>1.0259345096615169</v>
      </c>
      <c r="I38" s="116" t="str">
        <f>'AI-10'!$B$23</f>
        <v>BasketballDrive</v>
      </c>
      <c r="J38" s="117" t="e">
        <f>'LDB-10'!$V$23</f>
        <v>#VALUE!</v>
      </c>
      <c r="K38" s="118" t="e">
        <f>'LDB-10'!$W$23</f>
        <v>#VALUE!</v>
      </c>
      <c r="L38" s="119" t="e">
        <f>'LDB-10'!$X$23</f>
        <v>#VALUE!</v>
      </c>
      <c r="M38" s="120" t="e">
        <f>GEOMEAN('LDB-10'!$S$23:'LDB-10'!$S$26)</f>
        <v>#NUM!</v>
      </c>
      <c r="N38" s="121" t="e">
        <f>GEOMEAN('LDB-10'!$T$23:'LDB-10'!$T$26)</f>
        <v>#NUM!</v>
      </c>
    </row>
    <row r="39" spans="2:14" ht="12.75" customHeight="1" x14ac:dyDescent="0.2">
      <c r="B39" s="116" t="str">
        <f>'AI-10'!$B$27</f>
        <v>MarketPlace</v>
      </c>
      <c r="C39" s="117">
        <f>'RA-10'!$V$27</f>
        <v>-6.1206527146612233E-3</v>
      </c>
      <c r="D39" s="118">
        <f>'RA-10'!$W$27</f>
        <v>5.3389670382100185E-3</v>
      </c>
      <c r="E39" s="119">
        <f>'RA-10'!$X$27</f>
        <v>-6.9054090305685767E-3</v>
      </c>
      <c r="F39" s="120">
        <f>GEOMEAN('RA-10'!$S$27:'RA-10'!$S$30)</f>
        <v>1.0084509930629906</v>
      </c>
      <c r="G39" s="121">
        <f>GEOMEAN('RA-10'!$T$27:'RA-10'!$T$30)</f>
        <v>1.0078217237201508</v>
      </c>
      <c r="I39" s="116" t="str">
        <f>'AI-10'!$B$27</f>
        <v>MarketPlace</v>
      </c>
      <c r="J39" s="117" t="e">
        <f>'LDB-10'!$V$27</f>
        <v>#VALUE!</v>
      </c>
      <c r="K39" s="118" t="e">
        <f>'LDB-10'!$W$27</f>
        <v>#VALUE!</v>
      </c>
      <c r="L39" s="119" t="e">
        <f>'LDB-10'!$X$27</f>
        <v>#VALUE!</v>
      </c>
      <c r="M39" s="120" t="e">
        <f>GEOMEAN('LDB-10'!$S$27:'LDB-10'!$S$30)</f>
        <v>#NUM!</v>
      </c>
      <c r="N39" s="121" t="e">
        <f>GEOMEAN('LDB-10'!$T$27:'LDB-10'!$T$30)</f>
        <v>#NUM!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-1.9948144228787434E-3</v>
      </c>
      <c r="D40" s="124">
        <f>'RA-10'!$W$31</f>
        <v>-9.3681751422680648E-4</v>
      </c>
      <c r="E40" s="125">
        <f>'RA-10'!$X$31</f>
        <v>3.5802906145112612E-3</v>
      </c>
      <c r="F40" s="126">
        <f>GEOMEAN('RA-10'!$S$31:'RA-10'!$S$34)</f>
        <v>1.007488989278172</v>
      </c>
      <c r="G40" s="127">
        <f>GEOMEAN('RA-10'!$T$31:'RA-10'!$T$34)</f>
        <v>1.0027661379406789</v>
      </c>
      <c r="I40" s="122" t="str">
        <f>'AI-10'!$B$31</f>
        <v>RitualDance</v>
      </c>
      <c r="J40" s="123" t="e">
        <f>'LDB-10'!$V$31</f>
        <v>#VALUE!</v>
      </c>
      <c r="K40" s="124" t="e">
        <f>'LDB-10'!$W$31</f>
        <v>#VALUE!</v>
      </c>
      <c r="L40" s="125" t="e">
        <f>'LDB-10'!$X$31</f>
        <v>#VALUE!</v>
      </c>
      <c r="M40" s="126" t="e">
        <f>GEOMEAN('LDB-10'!$S$31:'LDB-10'!$S$34)</f>
        <v>#NUM!</v>
      </c>
      <c r="N40" s="127" t="e">
        <f>GEOMEAN('LDB-10'!$T$31:'LDB-10'!$T$34)</f>
        <v>#NUM!</v>
      </c>
    </row>
    <row r="41" spans="2:14" ht="12.75" customHeight="1" x14ac:dyDescent="0.2">
      <c r="B41" s="110" t="str">
        <f>'AI-10'!$B$35</f>
        <v>City</v>
      </c>
      <c r="C41" s="111">
        <f>'RA-10'!$V$35</f>
        <v>-1.452811052812375E-2</v>
      </c>
      <c r="D41" s="112">
        <f>'RA-10'!$W$35</f>
        <v>-1.5120203101482321E-2</v>
      </c>
      <c r="E41" s="113">
        <f>'RA-10'!$X$35</f>
        <v>-1.1216203836144967E-2</v>
      </c>
      <c r="F41" s="114">
        <f>GEOMEAN('RA-10'!$S$35:'RA-10'!$S$38)</f>
        <v>1.0022128208393337</v>
      </c>
      <c r="G41" s="115">
        <f>GEOMEAN('RA-10'!$T$35:'RA-10'!$T$38)</f>
        <v>0.99734713314996459</v>
      </c>
      <c r="I41" s="110" t="str">
        <f>'AI-10'!$B$35</f>
        <v>City</v>
      </c>
      <c r="J41" s="111" t="e">
        <f>'LDB-10'!$V$35</f>
        <v>#VALUE!</v>
      </c>
      <c r="K41" s="112" t="e">
        <f>'LDB-10'!$W$35</f>
        <v>#VALUE!</v>
      </c>
      <c r="L41" s="113" t="e">
        <f>'LDB-10'!$X$35</f>
        <v>#VALUE!</v>
      </c>
      <c r="M41" s="114" t="e">
        <f>GEOMEAN('LDB-10'!$S$35:'LDB-10'!$S$38)</f>
        <v>#NUM!</v>
      </c>
      <c r="N41" s="115" t="e">
        <f>GEOMEAN('LDB-10'!$T$35:'LDB-10'!$T$38)</f>
        <v>#NUM!</v>
      </c>
    </row>
    <row r="42" spans="2:14" ht="12.75" customHeight="1" x14ac:dyDescent="0.2">
      <c r="B42" s="116" t="str">
        <f>'AI-10'!$B$39</f>
        <v>Crew</v>
      </c>
      <c r="C42" s="117">
        <f>'RA-10'!$V$39</f>
        <v>-3.9373009248225843E-3</v>
      </c>
      <c r="D42" s="118">
        <f>'RA-10'!$W$39</f>
        <v>1.2658372364024117E-2</v>
      </c>
      <c r="E42" s="119">
        <f>'RA-10'!$X$39</f>
        <v>-3.9387414633713647E-3</v>
      </c>
      <c r="F42" s="120">
        <f>GEOMEAN('RA-10'!$S$39:'RA-10'!$S$42)</f>
        <v>1.0107029607253597</v>
      </c>
      <c r="G42" s="121">
        <f>GEOMEAN('RA-10'!$T$39:'RA-10'!$T$42)</f>
        <v>0.97578938397414083</v>
      </c>
      <c r="I42" s="116" t="str">
        <f>'AI-10'!$B$39</f>
        <v>Crew</v>
      </c>
      <c r="J42" s="117" t="e">
        <f>'LDB-10'!$V$39</f>
        <v>#VALUE!</v>
      </c>
      <c r="K42" s="118" t="e">
        <f>'LDB-10'!$W$39</f>
        <v>#VALUE!</v>
      </c>
      <c r="L42" s="119" t="e">
        <f>'LDB-10'!$X$39</f>
        <v>#VALUE!</v>
      </c>
      <c r="M42" s="120" t="e">
        <f>GEOMEAN('LDB-10'!$S$39:'LDB-10'!$S$42)</f>
        <v>#NUM!</v>
      </c>
      <c r="N42" s="121" t="e">
        <f>GEOMEAN('LDB-10'!$T$39:'LDB-10'!$T$42)</f>
        <v>#NUM!</v>
      </c>
    </row>
    <row r="43" spans="2:14" ht="12.75" customHeight="1" x14ac:dyDescent="0.2">
      <c r="B43" s="116" t="str">
        <f>'AI-10'!$B$43</f>
        <v>vidyo1</v>
      </c>
      <c r="C43" s="117">
        <f>'RA-10'!$V$43</f>
        <v>-4.0592534894956511E-3</v>
      </c>
      <c r="D43" s="118">
        <f>'RA-10'!$W$43</f>
        <v>-8.4102609959826324E-3</v>
      </c>
      <c r="E43" s="119">
        <f>'RA-10'!$X$43</f>
        <v>-1.3071604831770389E-2</v>
      </c>
      <c r="F43" s="120">
        <f>GEOMEAN('RA-10'!$S$43:'RA-10'!$S$46)</f>
        <v>1.0046030989879506</v>
      </c>
      <c r="G43" s="121">
        <f>GEOMEAN('RA-10'!$T$43:'RA-10'!$T$46)</f>
        <v>0.95418168365087763</v>
      </c>
      <c r="I43" s="116" t="str">
        <f>'AI-10'!$B$43</f>
        <v>vidyo1</v>
      </c>
      <c r="J43" s="117">
        <f>'LDB-10'!$V$43</f>
        <v>-9.0202136690376022E-3</v>
      </c>
      <c r="K43" s="118">
        <f>'LDB-10'!$W$43</f>
        <v>5.4405891472346646E-3</v>
      </c>
      <c r="L43" s="119">
        <f>'LDB-10'!$X$43</f>
        <v>-1.4940116531386383E-2</v>
      </c>
      <c r="M43" s="120">
        <f>GEOMEAN('LDB-10'!$S$43:'LDB-10'!$S$46)</f>
        <v>0.92196927276821705</v>
      </c>
      <c r="N43" s="121">
        <f>GEOMEAN('LDB-10'!$T$43:'LDB-10'!$T$46)</f>
        <v>1.0070677670728607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-7.4663496728365475E-3</v>
      </c>
      <c r="D44" s="124">
        <f>'RA-10'!$W$47</f>
        <v>-1.4534376018891404E-2</v>
      </c>
      <c r="E44" s="125">
        <f>'RA-10'!$X$47</f>
        <v>-1.5106703169256441E-2</v>
      </c>
      <c r="F44" s="126">
        <f>GEOMEAN('RA-10'!$S$47:'RA-10'!$S$50)</f>
        <v>1.0038698032305002</v>
      </c>
      <c r="G44" s="127">
        <f>GEOMEAN('RA-10'!$T$47:'RA-10'!$T$50)</f>
        <v>0.97197616919525154</v>
      </c>
      <c r="I44" s="122" t="str">
        <f>'AI-10'!$B$47</f>
        <v>vidyo3</v>
      </c>
      <c r="J44" s="123">
        <f>'LDB-10'!$V$47</f>
        <v>-1.3754399994276079E-2</v>
      </c>
      <c r="K44" s="124">
        <f>'LDB-10'!$W$47</f>
        <v>-4.1064887945119533E-2</v>
      </c>
      <c r="L44" s="125">
        <f>'LDB-10'!$X$47</f>
        <v>6.3510310888250654E-3</v>
      </c>
      <c r="M44" s="126">
        <f>GEOMEAN('LDB-10'!$S$47:'LDB-10'!$S$50)</f>
        <v>0.91298129565426522</v>
      </c>
      <c r="N44" s="127">
        <f>GEOMEAN('LDB-10'!$T$47:'LDB-10'!$T$50)</f>
        <v>0.9490232508550176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#NUM!</v>
      </c>
      <c r="G51" s="115" t="e">
        <f>'RA-10'!$T75</f>
        <v>#NUM!</v>
      </c>
      <c r="I51" s="132" t="s">
        <v>78</v>
      </c>
      <c r="J51" s="111" t="e">
        <f>'LDB-10'!$V75</f>
        <v>#VALUE!</v>
      </c>
      <c r="K51" s="112" t="e">
        <f>'LDB-10'!$W75</f>
        <v>#VALUE!</v>
      </c>
      <c r="L51" s="113" t="e">
        <f>'LDB-10'!$X75</f>
        <v>#VALUE!</v>
      </c>
      <c r="M51" s="128" t="e">
        <f>'LDB-10'!$S75</f>
        <v>#NUM!</v>
      </c>
      <c r="N51" s="115" t="e">
        <f>'LDB-10'!$T75</f>
        <v>#NUM!</v>
      </c>
    </row>
    <row r="52" spans="2:14" ht="12.75" customHeight="1" x14ac:dyDescent="0.2">
      <c r="B52" s="133" t="s">
        <v>79</v>
      </c>
      <c r="C52" s="117">
        <f>'RA-10'!$V76</f>
        <v>-4.6096347689565387E-3</v>
      </c>
      <c r="D52" s="118">
        <f>'RA-10'!$W76</f>
        <v>-1.8464066890430675E-4</v>
      </c>
      <c r="E52" s="119">
        <f>'RA-10'!$X76</f>
        <v>-1.6545944059626061E-3</v>
      </c>
      <c r="F52" s="130">
        <f>'RA-10'!$S76</f>
        <v>1.0096125928464366</v>
      </c>
      <c r="G52" s="121">
        <f>'RA-10'!$T76</f>
        <v>1.0075575002558308</v>
      </c>
      <c r="I52" s="133" t="s">
        <v>79</v>
      </c>
      <c r="J52" s="117" t="e">
        <f>'LDB-10'!$V76</f>
        <v>#VALUE!</v>
      </c>
      <c r="K52" s="118" t="e">
        <f>'LDB-10'!$W76</f>
        <v>#VALUE!</v>
      </c>
      <c r="L52" s="119" t="e">
        <f>'LDB-10'!$X76</f>
        <v>#VALUE!</v>
      </c>
      <c r="M52" s="130" t="e">
        <f>'LDB-10'!$S76</f>
        <v>#NUM!</v>
      </c>
      <c r="N52" s="121" t="e">
        <f>'LDB-10'!$T76</f>
        <v>#NUM!</v>
      </c>
    </row>
    <row r="53" spans="2:14" ht="12.75" customHeight="1" thickBot="1" x14ac:dyDescent="0.25">
      <c r="B53" s="133" t="s">
        <v>51</v>
      </c>
      <c r="C53" s="117">
        <f>'RA-10'!$V77</f>
        <v>-7.4977536538196332E-3</v>
      </c>
      <c r="D53" s="118">
        <f>'RA-10'!$W77</f>
        <v>-6.35161693808306E-3</v>
      </c>
      <c r="E53" s="119">
        <f>'RA-10'!$X77</f>
        <v>-1.083331332513579E-2</v>
      </c>
      <c r="F53" s="130">
        <f>'RA-10'!$S77</f>
        <v>1.005342052539707</v>
      </c>
      <c r="G53" s="121">
        <f>'RA-10'!$T77</f>
        <v>0.9747029518725957</v>
      </c>
      <c r="I53" s="133" t="s">
        <v>80</v>
      </c>
      <c r="J53" s="117" t="e">
        <f>'LDB-10'!$V77</f>
        <v>#VALUE!</v>
      </c>
      <c r="K53" s="118" t="e">
        <f>'LDB-10'!$W77</f>
        <v>#VALUE!</v>
      </c>
      <c r="L53" s="119" t="e">
        <f>'LDB-10'!$X77</f>
        <v>#VALUE!</v>
      </c>
      <c r="M53" s="130" t="e">
        <f>'LDB-10'!$S77</f>
        <v>#NUM!</v>
      </c>
      <c r="N53" s="121" t="e">
        <f>'LDB-10'!$T77</f>
        <v>#NUM!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#NUM!</v>
      </c>
      <c r="G54" s="134" t="e">
        <f>'RA-10'!$T80</f>
        <v>#NUM!</v>
      </c>
      <c r="I54" s="139" t="s">
        <v>37</v>
      </c>
      <c r="J54" s="138" t="e">
        <f>'LDB-10'!$V80</f>
        <v>#VALUE!</v>
      </c>
      <c r="K54" s="137" t="e">
        <f>'LDB-10'!$W80</f>
        <v>#VALUE!</v>
      </c>
      <c r="L54" s="136" t="e">
        <f>'LDB-10'!$X80</f>
        <v>#VALUE!</v>
      </c>
      <c r="M54" s="135" t="e">
        <f>'LDB-10'!$S80</f>
        <v>#NUM!</v>
      </c>
      <c r="N54" s="134" t="e">
        <f>'LDB-10'!$T80</f>
        <v>#NUM!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I13" sqref="I13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HPM8.1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 t="e">
        <f>'AI-10'!V75</f>
        <v>#VALUE!</v>
      </c>
      <c r="D5" s="61" t="e">
        <f>'AI-10'!W75</f>
        <v>#VALUE!</v>
      </c>
      <c r="E5" s="62" t="e">
        <f>'AI-10'!X75</f>
        <v>#VALUE!</v>
      </c>
      <c r="F5" s="63" t="e">
        <f>'AI-10'!S75</f>
        <v>#NUM!</v>
      </c>
      <c r="G5" s="64" t="e">
        <f>'AI-10'!T75</f>
        <v>#NUM!</v>
      </c>
      <c r="H5" s="25"/>
      <c r="J5" s="28"/>
    </row>
    <row r="6" spans="2:10" ht="12.75" customHeight="1" x14ac:dyDescent="0.2">
      <c r="B6" s="94" t="s">
        <v>91</v>
      </c>
      <c r="C6" s="65">
        <f>'AI-10'!V76</f>
        <v>-2.5591620540784954E-3</v>
      </c>
      <c r="D6" s="66">
        <f>'AI-10'!W76</f>
        <v>-1.8579086974976344E-3</v>
      </c>
      <c r="E6" s="67">
        <f>'AI-10'!X76</f>
        <v>-4.7233485411627696E-3</v>
      </c>
      <c r="F6" s="68">
        <f>'AI-10'!S76</f>
        <v>1.0366071646935231</v>
      </c>
      <c r="G6" s="69">
        <f>'AI-10'!T76</f>
        <v>1.0552803288988848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-2.8039118450364497E-3</v>
      </c>
      <c r="D7" s="66">
        <f>'AI-10'!W77</f>
        <v>-4.3367267442471769E-3</v>
      </c>
      <c r="E7" s="67">
        <f>'AI-10'!X77</f>
        <v>-1.093702784683237E-3</v>
      </c>
      <c r="F7" s="68">
        <f>'AI-10'!S77</f>
        <v>1.0373347762758585</v>
      </c>
      <c r="G7" s="69">
        <f>'AI-10'!T77</f>
        <v>1.0561594969281562</v>
      </c>
      <c r="H7" s="25"/>
    </row>
    <row r="8" spans="2:10" s="20" customFormat="1" ht="12.75" customHeight="1" thickBot="1" x14ac:dyDescent="0.25">
      <c r="B8" s="81" t="s">
        <v>37</v>
      </c>
      <c r="C8" s="60" t="e">
        <f>'AI-10'!V80</f>
        <v>#VALUE!</v>
      </c>
      <c r="D8" s="61" t="e">
        <f>'AI-10'!W80</f>
        <v>#VALUE!</v>
      </c>
      <c r="E8" s="61" t="e">
        <f>'AI-10'!X80</f>
        <v>#VALUE!</v>
      </c>
      <c r="F8" s="100" t="e">
        <f>'AI-10'!S80</f>
        <v>#NUM!</v>
      </c>
      <c r="G8" s="101" t="e">
        <f>'AI-10'!T80</f>
        <v>#NUM!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HPM8.1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#NUM!</v>
      </c>
      <c r="G15" s="64" t="e">
        <f>'RA-10'!T75</f>
        <v>#NUM!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-4.6096347689565387E-3</v>
      </c>
      <c r="D16" s="66">
        <f>'RA-10'!W76</f>
        <v>-1.8464066890430675E-4</v>
      </c>
      <c r="E16" s="67">
        <f>'RA-10'!X76</f>
        <v>-1.6545944059626061E-3</v>
      </c>
      <c r="F16" s="68">
        <f>'RA-10'!S76</f>
        <v>1.0096125928464366</v>
      </c>
      <c r="G16" s="69">
        <f>'RA-10'!T76</f>
        <v>1.0075575002558308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-7.4977536538196332E-3</v>
      </c>
      <c r="D17" s="66">
        <f>'RA-10'!W77</f>
        <v>-6.35161693808306E-3</v>
      </c>
      <c r="E17" s="67">
        <f>'RA-10'!X77</f>
        <v>-1.083331332513579E-2</v>
      </c>
      <c r="F17" s="68">
        <f>'RA-10'!S77</f>
        <v>1.005342052539707</v>
      </c>
      <c r="G17" s="69">
        <f>'RA-10'!T77</f>
        <v>0.9747029518725957</v>
      </c>
      <c r="H17" s="25"/>
    </row>
    <row r="18" spans="2:9" ht="12.75" customHeight="1" thickBot="1" x14ac:dyDescent="0.25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#NUM!</v>
      </c>
      <c r="G18" s="101" t="e">
        <f>'RA-10'!T80</f>
        <v>#NUM!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HPM8.1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 t="e">
        <f>'LDB-10'!V75</f>
        <v>#VALUE!</v>
      </c>
      <c r="D25" s="61" t="e">
        <f>'LDB-10'!W75</f>
        <v>#VALUE!</v>
      </c>
      <c r="E25" s="62" t="e">
        <f>'LDB-10'!X75</f>
        <v>#VALUE!</v>
      </c>
      <c r="F25" s="63" t="e">
        <f>'LDB-10'!S75</f>
        <v>#NUM!</v>
      </c>
      <c r="G25" s="64" t="e">
        <f>'LDB-10'!T75</f>
        <v>#NUM!</v>
      </c>
      <c r="H25" s="25"/>
      <c r="I25" s="28"/>
    </row>
    <row r="26" spans="2:9" ht="12.75" customHeight="1" x14ac:dyDescent="0.2">
      <c r="B26" s="94" t="s">
        <v>91</v>
      </c>
      <c r="C26" s="65" t="e">
        <f>'LDB-10'!V76</f>
        <v>#VALUE!</v>
      </c>
      <c r="D26" s="66" t="e">
        <f>'LDB-10'!W76</f>
        <v>#VALUE!</v>
      </c>
      <c r="E26" s="67" t="e">
        <f>'LDB-10'!X76</f>
        <v>#VALUE!</v>
      </c>
      <c r="F26" s="68" t="e">
        <f>'LDB-10'!S76</f>
        <v>#NUM!</v>
      </c>
      <c r="G26" s="69" t="e">
        <f>'LDB-10'!T76</f>
        <v>#NUM!</v>
      </c>
      <c r="H26" s="25"/>
    </row>
    <row r="27" spans="2:9" ht="12.75" customHeight="1" thickBot="1" x14ac:dyDescent="0.25">
      <c r="B27" s="95" t="s">
        <v>93</v>
      </c>
      <c r="C27" s="65" t="e">
        <f>'LDB-10'!V77</f>
        <v>#VALUE!</v>
      </c>
      <c r="D27" s="66" t="e">
        <f>'LDB-10'!W77</f>
        <v>#VALUE!</v>
      </c>
      <c r="E27" s="67" t="e">
        <f>'LDB-10'!X77</f>
        <v>#VALUE!</v>
      </c>
      <c r="F27" s="68" t="e">
        <f>'LDB-10'!S77</f>
        <v>#NUM!</v>
      </c>
      <c r="G27" s="69" t="e">
        <f>'LDB-10'!T77</f>
        <v>#NUM!</v>
      </c>
      <c r="H27" s="25"/>
      <c r="I27" s="28"/>
    </row>
    <row r="28" spans="2:9" ht="12.75" customHeight="1" thickBot="1" x14ac:dyDescent="0.25">
      <c r="B28" s="81" t="s">
        <v>37</v>
      </c>
      <c r="C28" s="60" t="e">
        <f>'LDB-10'!V80</f>
        <v>#VALUE!</v>
      </c>
      <c r="D28" s="61" t="e">
        <f>'LDB-10'!W80</f>
        <v>#VALUE!</v>
      </c>
      <c r="E28" s="61" t="e">
        <f>'LDB-10'!X80</f>
        <v>#VALUE!</v>
      </c>
      <c r="F28" s="100" t="e">
        <f>'LDB-10'!S80</f>
        <v>#NUM!</v>
      </c>
      <c r="G28" s="101" t="e">
        <f>'LDB-10'!T80</f>
        <v>#NUM!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HPM8.1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77497.984899999996</v>
      </c>
      <c r="E3" s="13">
        <f>Reference!C1</f>
        <v>40.8005</v>
      </c>
      <c r="F3" s="13">
        <f>Reference!D1</f>
        <v>49.129199999999997</v>
      </c>
      <c r="G3" s="13">
        <f>Reference!E1</f>
        <v>47.6556</v>
      </c>
      <c r="H3" s="13">
        <f>Reference!F1</f>
        <v>90598.797000000006</v>
      </c>
      <c r="I3" s="13">
        <f>Reference!G1</f>
        <v>26.888999999999999</v>
      </c>
      <c r="J3" s="14">
        <f>H3/3600</f>
        <v>25.166332500000003</v>
      </c>
      <c r="L3" s="12">
        <f>Test!B1</f>
        <v>77588.665900000007</v>
      </c>
      <c r="M3" s="13">
        <f>Test!C1</f>
        <v>40.803199999999997</v>
      </c>
      <c r="N3" s="13">
        <f>Test!D1</f>
        <v>49.127800000000001</v>
      </c>
      <c r="O3" s="13">
        <f>Test!E1</f>
        <v>47.654299999999999</v>
      </c>
      <c r="P3" s="13">
        <f>Test!F1</f>
        <v>93289.983999999997</v>
      </c>
      <c r="Q3" s="13">
        <f>Test!G1</f>
        <v>27.513999999999999</v>
      </c>
      <c r="R3" s="13">
        <f>P3/3600</f>
        <v>25.913884444444445</v>
      </c>
      <c r="S3" s="12">
        <f>P3/H3</f>
        <v>1.0297044451925779</v>
      </c>
      <c r="T3" s="13">
        <f>Q3/I3</f>
        <v>1.0232437056045223</v>
      </c>
      <c r="U3" s="90"/>
      <c r="V3" s="42">
        <f>bdrate($D3:$D6,E3:E6,$L3:$L6,M3:M6)</f>
        <v>-3.8286678800725227E-4</v>
      </c>
      <c r="W3" s="42">
        <f>bdrate($D3:$D6,F3:F6,$L3:$L6,N3:N6)</f>
        <v>8.4406101046985427E-5</v>
      </c>
      <c r="X3" s="43">
        <f>bdrate($D3:$D6,G3:G6,$L3:$L6,O3:O6)</f>
        <v>-4.756931569669387E-4</v>
      </c>
      <c r="Y3" s="37">
        <f>bdrateOld($D3:$D6,E3:E6,$L3:$L6,M3:M6)</f>
        <v>-4.013534141695807E-4</v>
      </c>
      <c r="Z3" s="42">
        <f>bdrateOld($D3:$D6,F3:F6,$L3:$L6,N3:N6)</f>
        <v>4.8109694589015817E-4</v>
      </c>
      <c r="AA3" s="43">
        <f>bdrateOld($D3:$D6,G3:G6,$L3:$L6,O3:O6)</f>
        <v>-4.415544388975956E-4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41825.124300000003</v>
      </c>
      <c r="E4" s="18">
        <f>Reference!C2</f>
        <v>40.149900000000002</v>
      </c>
      <c r="F4" s="18">
        <f>Reference!D2</f>
        <v>48.338000000000001</v>
      </c>
      <c r="G4" s="18">
        <f>Reference!E2</f>
        <v>46.536099999999998</v>
      </c>
      <c r="H4" s="18">
        <f>Reference!F2</f>
        <v>49333.983999999997</v>
      </c>
      <c r="I4" s="18">
        <f>Reference!G2</f>
        <v>23.718</v>
      </c>
      <c r="J4" s="19">
        <f t="shared" ref="J4:J14" si="0">H4/3600</f>
        <v>13.703884444444444</v>
      </c>
      <c r="L4" s="17">
        <f>Test!B2</f>
        <v>41846.529699999999</v>
      </c>
      <c r="M4" s="18">
        <f>Test!C2</f>
        <v>40.151200000000003</v>
      </c>
      <c r="N4" s="18">
        <f>Test!D2</f>
        <v>48.341099999999997</v>
      </c>
      <c r="O4" s="18">
        <f>Test!E2</f>
        <v>46.536799999999999</v>
      </c>
      <c r="P4" s="18">
        <f>Test!F2</f>
        <v>50657.042999999998</v>
      </c>
      <c r="Q4" s="18">
        <f>Test!G2</f>
        <v>25.306999999999999</v>
      </c>
      <c r="R4" s="18">
        <f t="shared" ref="R4:R14" si="1">P4/3600</f>
        <v>14.071400833333334</v>
      </c>
      <c r="S4" s="17">
        <f t="shared" ref="S4:T14" si="2">P4/H4</f>
        <v>1.0268184098004329</v>
      </c>
      <c r="T4" s="18">
        <f t="shared" si="2"/>
        <v>1.0669955308204739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25032.570800000001</v>
      </c>
      <c r="E5" s="18">
        <f>Reference!C3</f>
        <v>39.418100000000003</v>
      </c>
      <c r="F5" s="18">
        <f>Reference!D3</f>
        <v>47.363900000000001</v>
      </c>
      <c r="G5" s="18">
        <f>Reference!E3</f>
        <v>45.252200000000002</v>
      </c>
      <c r="H5" s="18">
        <f>Reference!F3</f>
        <v>29182.701000000001</v>
      </c>
      <c r="I5" s="18">
        <f>Reference!G3</f>
        <v>22.021000000000001</v>
      </c>
      <c r="J5" s="19">
        <f t="shared" si="0"/>
        <v>8.1063058333333338</v>
      </c>
      <c r="L5" s="17">
        <f>Test!B3</f>
        <v>25031.403200000001</v>
      </c>
      <c r="M5" s="18">
        <f>Test!C3</f>
        <v>39.418199999999999</v>
      </c>
      <c r="N5" s="18">
        <f>Test!D3</f>
        <v>47.361499999999999</v>
      </c>
      <c r="O5" s="18">
        <f>Test!E3</f>
        <v>45.252699999999997</v>
      </c>
      <c r="P5" s="18">
        <f>Test!F3</f>
        <v>29623.905999999999</v>
      </c>
      <c r="Q5" s="18">
        <f>Test!G3</f>
        <v>23.198</v>
      </c>
      <c r="R5" s="18">
        <f t="shared" si="1"/>
        <v>8.2288627777777776</v>
      </c>
      <c r="S5" s="17">
        <f t="shared" si="2"/>
        <v>1.0151187170783129</v>
      </c>
      <c r="T5" s="18">
        <f t="shared" si="2"/>
        <v>1.0534489805185958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14265.6389</v>
      </c>
      <c r="E6" s="23">
        <f>Reference!C4</f>
        <v>38.194800000000001</v>
      </c>
      <c r="F6" s="23">
        <f>Reference!D4</f>
        <v>45.863999999999997</v>
      </c>
      <c r="G6" s="23">
        <f>Reference!E4</f>
        <v>43.448500000000003</v>
      </c>
      <c r="H6" s="23">
        <f>Reference!F4</f>
        <v>16100.026</v>
      </c>
      <c r="I6" s="23">
        <f>Reference!G4</f>
        <v>20.614000000000001</v>
      </c>
      <c r="J6" s="24">
        <f t="shared" si="0"/>
        <v>4.4722294444444444</v>
      </c>
      <c r="L6" s="22">
        <f>Test!B4</f>
        <v>14262.7459</v>
      </c>
      <c r="M6" s="23">
        <f>Test!C4</f>
        <v>38.194699999999997</v>
      </c>
      <c r="N6" s="23">
        <f>Test!D4</f>
        <v>45.867600000000003</v>
      </c>
      <c r="O6" s="23">
        <f>Test!E4</f>
        <v>43.461599999999997</v>
      </c>
      <c r="P6" s="23">
        <f>Test!F4</f>
        <v>16348.081</v>
      </c>
      <c r="Q6" s="23">
        <f>Test!G4</f>
        <v>21.597999999999999</v>
      </c>
      <c r="R6" s="23">
        <f t="shared" si="1"/>
        <v>4.5411336111111114</v>
      </c>
      <c r="S6" s="17">
        <f t="shared" si="2"/>
        <v>1.0154071179760829</v>
      </c>
      <c r="T6" s="18">
        <f t="shared" si="2"/>
        <v>1.0477345493354031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327906.1053</v>
      </c>
      <c r="E7" s="13">
        <f>Reference!C5</f>
        <v>44.643799999999999</v>
      </c>
      <c r="F7" s="13">
        <f>Reference!D5</f>
        <v>38.883200000000002</v>
      </c>
      <c r="G7" s="13">
        <f>Reference!E5</f>
        <v>39.506700000000002</v>
      </c>
      <c r="H7" s="13">
        <f>Reference!F5</f>
        <v>140233.46900000001</v>
      </c>
      <c r="I7" s="13">
        <f>Reference!G5</f>
        <v>38.564999999999998</v>
      </c>
      <c r="J7" s="14">
        <f t="shared" si="0"/>
        <v>38.953741388888893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3">
        <f t="shared" si="1"/>
        <v>0</v>
      </c>
      <c r="S7" s="17">
        <f t="shared" si="2"/>
        <v>0</v>
      </c>
      <c r="T7" s="18">
        <f t="shared" si="2"/>
        <v>0</v>
      </c>
      <c r="U7" s="91"/>
      <c r="V7" s="42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Reference!B6</f>
        <v>209113.2421</v>
      </c>
      <c r="E8" s="18">
        <f>Reference!C6</f>
        <v>41.878500000000003</v>
      </c>
      <c r="F8" s="18">
        <f>Reference!D6</f>
        <v>36.3035</v>
      </c>
      <c r="G8" s="18">
        <f>Reference!E6</f>
        <v>37.206299999999999</v>
      </c>
      <c r="H8" s="18">
        <f>Reference!F6</f>
        <v>110175.625</v>
      </c>
      <c r="I8" s="18">
        <f>Reference!G6</f>
        <v>34.712000000000003</v>
      </c>
      <c r="J8" s="19">
        <f t="shared" si="0"/>
        <v>30.604340277777776</v>
      </c>
      <c r="L8" s="17">
        <f>Test!B6</f>
        <v>207847.74739999999</v>
      </c>
      <c r="M8" s="18">
        <f>Test!C6</f>
        <v>41.8889</v>
      </c>
      <c r="N8" s="18">
        <f>Test!D6</f>
        <v>36.314599999999999</v>
      </c>
      <c r="O8" s="18">
        <f>Test!E6</f>
        <v>37.128500000000003</v>
      </c>
      <c r="P8" s="18">
        <f>Test!F6</f>
        <v>117340.43799999999</v>
      </c>
      <c r="Q8" s="18">
        <f>Test!G6</f>
        <v>35.737000000000002</v>
      </c>
      <c r="R8" s="18">
        <f t="shared" si="1"/>
        <v>32.594566111111106</v>
      </c>
      <c r="S8" s="17">
        <f t="shared" si="2"/>
        <v>1.0650308359948037</v>
      </c>
      <c r="T8" s="18">
        <f t="shared" si="2"/>
        <v>1.029528693247292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119373.3368</v>
      </c>
      <c r="E9" s="18">
        <f>Reference!C7</f>
        <v>38.631799999999998</v>
      </c>
      <c r="F9" s="18">
        <f>Reference!D7</f>
        <v>34.012099999999997</v>
      </c>
      <c r="G9" s="18">
        <f>Reference!E7</f>
        <v>35.131900000000002</v>
      </c>
      <c r="H9" s="18">
        <f>Reference!F7</f>
        <v>80872.414000000004</v>
      </c>
      <c r="I9" s="18">
        <f>Reference!G7</f>
        <v>29.707000000000001</v>
      </c>
      <c r="J9" s="19">
        <f t="shared" si="0"/>
        <v>22.464559444444447</v>
      </c>
      <c r="L9" s="17">
        <f>Test!B7</f>
        <v>118670.07369999999</v>
      </c>
      <c r="M9" s="18">
        <f>Test!C7</f>
        <v>38.655099999999997</v>
      </c>
      <c r="N9" s="18">
        <f>Test!D7</f>
        <v>34.024700000000003</v>
      </c>
      <c r="O9" s="18">
        <f>Test!E7</f>
        <v>35.0749</v>
      </c>
      <c r="P9" s="18">
        <f>Test!F7</f>
        <v>85500.016000000003</v>
      </c>
      <c r="Q9" s="18">
        <f>Test!G7</f>
        <v>31.187000000000001</v>
      </c>
      <c r="R9" s="18">
        <f t="shared" si="1"/>
        <v>23.750004444444446</v>
      </c>
      <c r="S9" s="17">
        <f t="shared" si="2"/>
        <v>1.0572210197657756</v>
      </c>
      <c r="T9" s="18">
        <f t="shared" si="2"/>
        <v>1.0498199077658465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56000.463199999998</v>
      </c>
      <c r="E10" s="23">
        <f>Reference!C8</f>
        <v>35.179099999999998</v>
      </c>
      <c r="F10" s="23">
        <f>Reference!D8</f>
        <v>31.644600000000001</v>
      </c>
      <c r="G10" s="23">
        <f>Reference!E8</f>
        <v>33.087899999999998</v>
      </c>
      <c r="H10" s="23">
        <f>Reference!F8</f>
        <v>52101.84</v>
      </c>
      <c r="I10" s="23">
        <f>Reference!G8</f>
        <v>24.567</v>
      </c>
      <c r="J10" s="24">
        <f t="shared" si="0"/>
        <v>14.472733333333332</v>
      </c>
      <c r="L10" s="22">
        <f>Test!B8</f>
        <v>55929.968399999998</v>
      </c>
      <c r="M10" s="23">
        <f>Test!C8</f>
        <v>35.199100000000001</v>
      </c>
      <c r="N10" s="23">
        <f>Test!D8</f>
        <v>31.658999999999999</v>
      </c>
      <c r="O10" s="23">
        <f>Test!E8</f>
        <v>33.125300000000003</v>
      </c>
      <c r="P10" s="23">
        <f>Test!F8</f>
        <v>54771.836000000003</v>
      </c>
      <c r="Q10" s="23">
        <f>Test!G8</f>
        <v>26.622</v>
      </c>
      <c r="R10" s="23">
        <f t="shared" si="1"/>
        <v>15.214398888888891</v>
      </c>
      <c r="S10" s="17">
        <f t="shared" si="2"/>
        <v>1.0512457141628782</v>
      </c>
      <c r="T10" s="18">
        <f t="shared" si="2"/>
        <v>1.0836487971669313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125646.1958</v>
      </c>
      <c r="E11" s="13">
        <f>Reference!C9</f>
        <v>41.547699999999999</v>
      </c>
      <c r="F11" s="13">
        <f>Reference!D9</f>
        <v>43.826599999999999</v>
      </c>
      <c r="G11" s="13">
        <f>Reference!E9</f>
        <v>42.737299999999998</v>
      </c>
      <c r="H11" s="13">
        <f>Reference!F9</f>
        <v>141769.484</v>
      </c>
      <c r="I11" s="13">
        <f>Reference!G9</f>
        <v>31.885000000000002</v>
      </c>
      <c r="J11" s="14">
        <f t="shared" si="0"/>
        <v>39.380412222222219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3">
        <f t="shared" si="1"/>
        <v>0</v>
      </c>
      <c r="S11" s="17">
        <f t="shared" si="2"/>
        <v>0</v>
      </c>
      <c r="T11" s="18">
        <f t="shared" si="2"/>
        <v>0</v>
      </c>
      <c r="U11" s="91"/>
      <c r="V11" s="42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Reference!B10</f>
        <v>56415.568399999996</v>
      </c>
      <c r="E12" s="18">
        <f>Reference!C10</f>
        <v>38.850200000000001</v>
      </c>
      <c r="F12" s="18">
        <f>Reference!D10</f>
        <v>41.226700000000001</v>
      </c>
      <c r="G12" s="18">
        <f>Reference!E10</f>
        <v>41.563899999999997</v>
      </c>
      <c r="H12" s="18">
        <f>Reference!F10</f>
        <v>86367.077999999994</v>
      </c>
      <c r="I12" s="18">
        <f>Reference!G10</f>
        <v>26.039000000000001</v>
      </c>
      <c r="J12" s="19">
        <f t="shared" si="0"/>
        <v>23.990855</v>
      </c>
      <c r="L12" s="17">
        <f>Test!B10</f>
        <v>56403.107400000001</v>
      </c>
      <c r="M12" s="18">
        <f>Test!C10</f>
        <v>38.857599999999998</v>
      </c>
      <c r="N12" s="18">
        <f>Test!D10</f>
        <v>41.230499999999999</v>
      </c>
      <c r="O12" s="18">
        <f>Test!E10</f>
        <v>41.567399999999999</v>
      </c>
      <c r="P12" s="18">
        <f>Test!F10</f>
        <v>90694.804999999993</v>
      </c>
      <c r="Q12" s="18">
        <f>Test!G10</f>
        <v>26.456</v>
      </c>
      <c r="R12" s="18">
        <f t="shared" si="1"/>
        <v>25.193001388888888</v>
      </c>
      <c r="S12" s="17">
        <f t="shared" si="2"/>
        <v>1.0501085263067484</v>
      </c>
      <c r="T12" s="18">
        <f t="shared" si="2"/>
        <v>1.0160144398786435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25617</v>
      </c>
      <c r="E13" s="18">
        <f>Reference!C11</f>
        <v>37.287500000000001</v>
      </c>
      <c r="F13" s="18">
        <f>Reference!D11</f>
        <v>38.915599999999998</v>
      </c>
      <c r="G13" s="18">
        <f>Reference!E11</f>
        <v>40.426299999999998</v>
      </c>
      <c r="H13" s="18">
        <f>Reference!F11</f>
        <v>45832.32</v>
      </c>
      <c r="I13" s="18">
        <f>Reference!G11</f>
        <v>21.722999999999999</v>
      </c>
      <c r="J13" s="19">
        <f t="shared" si="0"/>
        <v>12.731199999999999</v>
      </c>
      <c r="L13" s="17">
        <f>Test!B11</f>
        <v>25623.151600000001</v>
      </c>
      <c r="M13" s="18">
        <f>Test!C11</f>
        <v>37.2883</v>
      </c>
      <c r="N13" s="18">
        <f>Test!D11</f>
        <v>38.917099999999998</v>
      </c>
      <c r="O13" s="18">
        <f>Test!E11</f>
        <v>40.428899999999999</v>
      </c>
      <c r="P13" s="18">
        <f>Test!F11</f>
        <v>47673.987999999998</v>
      </c>
      <c r="Q13" s="18">
        <f>Test!G11</f>
        <v>22.498999999999999</v>
      </c>
      <c r="R13" s="18">
        <f t="shared" si="1"/>
        <v>13.242774444444445</v>
      </c>
      <c r="S13" s="17">
        <f t="shared" si="2"/>
        <v>1.0401827356764832</v>
      </c>
      <c r="T13" s="18">
        <f t="shared" si="2"/>
        <v>1.0357225060995259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12382.5663</v>
      </c>
      <c r="E14" s="23">
        <f>Reference!C12</f>
        <v>35.897799999999997</v>
      </c>
      <c r="F14" s="23">
        <f>Reference!D12</f>
        <v>36.217399999999998</v>
      </c>
      <c r="G14" s="23">
        <f>Reference!E12</f>
        <v>38.920299999999997</v>
      </c>
      <c r="H14" s="23">
        <f>Reference!F12</f>
        <v>25207.526999999998</v>
      </c>
      <c r="I14" s="23">
        <f>Reference!G12</f>
        <v>19.221</v>
      </c>
      <c r="J14" s="24">
        <f t="shared" si="0"/>
        <v>7.0020908333333329</v>
      </c>
      <c r="L14" s="22">
        <f>Test!B12</f>
        <v>12373.44</v>
      </c>
      <c r="M14" s="23">
        <f>Test!C12</f>
        <v>35.898000000000003</v>
      </c>
      <c r="N14" s="23">
        <f>Test!D12</f>
        <v>36.222799999999999</v>
      </c>
      <c r="O14" s="23">
        <f>Test!E12</f>
        <v>38.914000000000001</v>
      </c>
      <c r="P14" s="23">
        <f>Test!F12</f>
        <v>26523.276999999998</v>
      </c>
      <c r="Q14" s="23">
        <f>Test!G12</f>
        <v>20.614000000000001</v>
      </c>
      <c r="R14" s="23">
        <f t="shared" si="1"/>
        <v>7.3675769444444441</v>
      </c>
      <c r="S14" s="17">
        <f t="shared" si="2"/>
        <v>1.0521967109268593</v>
      </c>
      <c r="T14" s="18">
        <f t="shared" si="2"/>
        <v>1.072472816190625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178954.8884</v>
      </c>
      <c r="E15" s="13">
        <f>Reference!C13</f>
        <v>38.600900000000003</v>
      </c>
      <c r="F15" s="13">
        <f>Reference!D13</f>
        <v>45.480400000000003</v>
      </c>
      <c r="G15" s="13">
        <f>Reference!E13</f>
        <v>43.284500000000001</v>
      </c>
      <c r="H15" s="13">
        <f>Reference!F13</f>
        <v>168451.90599999999</v>
      </c>
      <c r="I15" s="13">
        <f>Reference!G13</f>
        <v>32.381999999999998</v>
      </c>
      <c r="J15" s="14">
        <f>H15/3600</f>
        <v>46.79219611111111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3">
        <f>P15/3600</f>
        <v>0</v>
      </c>
      <c r="S15" s="17">
        <f>P15/H15</f>
        <v>0</v>
      </c>
      <c r="T15" s="18">
        <f>Q15/I15</f>
        <v>0</v>
      </c>
      <c r="U15" s="91"/>
      <c r="V15" s="42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Reference!B14</f>
        <v>87394.130499999999</v>
      </c>
      <c r="E16" s="18">
        <f>Reference!C14</f>
        <v>37.662100000000002</v>
      </c>
      <c r="F16" s="18">
        <f>Reference!D14</f>
        <v>44.520600000000002</v>
      </c>
      <c r="G16" s="18">
        <f>Reference!E14</f>
        <v>42.122100000000003</v>
      </c>
      <c r="H16" s="18">
        <f>Reference!F14</f>
        <v>94085.25</v>
      </c>
      <c r="I16" s="18">
        <f>Reference!G14</f>
        <v>26.623999999999999</v>
      </c>
      <c r="J16" s="19">
        <f t="shared" ref="J16:J26" si="3">H16/3600</f>
        <v>26.134791666666668</v>
      </c>
      <c r="L16" s="17">
        <f>Test!B14</f>
        <v>87325.452600000004</v>
      </c>
      <c r="M16" s="18">
        <f>Test!C14</f>
        <v>37.667299999999997</v>
      </c>
      <c r="N16" s="18">
        <f>Test!D14</f>
        <v>44.522500000000001</v>
      </c>
      <c r="O16" s="18">
        <f>Test!E14</f>
        <v>42.136699999999998</v>
      </c>
      <c r="P16" s="18">
        <f>Test!F14</f>
        <v>97698.258000000002</v>
      </c>
      <c r="Q16" s="18">
        <f>Test!G14</f>
        <v>28.460999999999999</v>
      </c>
      <c r="R16" s="18">
        <f t="shared" ref="R16:R26" si="4">P16/3600</f>
        <v>27.138404999999999</v>
      </c>
      <c r="S16" s="17">
        <f t="shared" ref="S16:S26" si="5">P16/H16</f>
        <v>1.0384014284917136</v>
      </c>
      <c r="T16" s="18">
        <f t="shared" ref="T16:T26" si="6">Q16/I16</f>
        <v>1.0689978966346154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50177.178899999999</v>
      </c>
      <c r="E17" s="18">
        <f>Reference!C15</f>
        <v>36.731000000000002</v>
      </c>
      <c r="F17" s="18">
        <f>Reference!D15</f>
        <v>43.464100000000002</v>
      </c>
      <c r="G17" s="18">
        <f>Reference!E15</f>
        <v>40.902900000000002</v>
      </c>
      <c r="H17" s="18">
        <f>Reference!F15</f>
        <v>55864.245999999999</v>
      </c>
      <c r="I17" s="18">
        <f>Reference!G15</f>
        <v>23.446000000000002</v>
      </c>
      <c r="J17" s="19">
        <f t="shared" si="3"/>
        <v>15.51784611111111</v>
      </c>
      <c r="L17" s="17">
        <f>Test!B15</f>
        <v>50170.433700000001</v>
      </c>
      <c r="M17" s="18">
        <f>Test!C15</f>
        <v>36.740299999999998</v>
      </c>
      <c r="N17" s="18">
        <f>Test!D15</f>
        <v>43.465600000000002</v>
      </c>
      <c r="O17" s="18">
        <f>Test!E15</f>
        <v>40.918100000000003</v>
      </c>
      <c r="P17" s="18">
        <f>Test!F15</f>
        <v>57932.538999999997</v>
      </c>
      <c r="Q17" s="18">
        <f>Test!G15</f>
        <v>25.661999999999999</v>
      </c>
      <c r="R17" s="18">
        <f t="shared" si="4"/>
        <v>16.092371944444444</v>
      </c>
      <c r="S17" s="17">
        <f t="shared" si="5"/>
        <v>1.0370235552807783</v>
      </c>
      <c r="T17" s="18">
        <f t="shared" si="6"/>
        <v>1.0945150558730699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26433.1705</v>
      </c>
      <c r="E18" s="23">
        <f>Reference!C16</f>
        <v>35.2258</v>
      </c>
      <c r="F18" s="23">
        <f>Reference!D16</f>
        <v>42.01</v>
      </c>
      <c r="G18" s="23">
        <f>Reference!E16</f>
        <v>39.510899999999999</v>
      </c>
      <c r="H18" s="23">
        <f>Reference!F16</f>
        <v>32602.271000000001</v>
      </c>
      <c r="I18" s="23">
        <f>Reference!G16</f>
        <v>20.643000000000001</v>
      </c>
      <c r="J18" s="24">
        <f t="shared" si="3"/>
        <v>9.0561863888888894</v>
      </c>
      <c r="L18" s="22">
        <f>Test!B16</f>
        <v>26429.482100000001</v>
      </c>
      <c r="M18" s="23">
        <f>Test!C16</f>
        <v>35.237499999999997</v>
      </c>
      <c r="N18" s="23">
        <f>Test!D16</f>
        <v>41.996600000000001</v>
      </c>
      <c r="O18" s="23">
        <f>Test!E16</f>
        <v>39.508899999999997</v>
      </c>
      <c r="P18" s="23">
        <f>Test!F16</f>
        <v>33240.910000000003</v>
      </c>
      <c r="Q18" s="23">
        <f>Test!G16</f>
        <v>22.132999999999999</v>
      </c>
      <c r="R18" s="23">
        <f t="shared" si="4"/>
        <v>9.2335861111111122</v>
      </c>
      <c r="S18" s="17">
        <f t="shared" si="5"/>
        <v>1.0195887887687334</v>
      </c>
      <c r="T18" s="18">
        <f t="shared" si="6"/>
        <v>1.0721794312842126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68243.104800000001</v>
      </c>
      <c r="E19" s="13">
        <f>Reference!C17</f>
        <v>39.5443</v>
      </c>
      <c r="F19" s="13">
        <f>Reference!D17</f>
        <v>40.376399999999997</v>
      </c>
      <c r="G19" s="13">
        <f>Reference!E17</f>
        <v>43.282200000000003</v>
      </c>
      <c r="H19" s="13">
        <f>Reference!F17</f>
        <v>83407.648000000001</v>
      </c>
      <c r="I19" s="13">
        <f>Reference!G17</f>
        <v>16.568000000000001</v>
      </c>
      <c r="J19" s="14">
        <f t="shared" si="3"/>
        <v>23.168791111111112</v>
      </c>
      <c r="L19" s="12">
        <f>Test!B17</f>
        <v>68199.485700000005</v>
      </c>
      <c r="M19" s="13">
        <f>Test!C17</f>
        <v>39.544199999999996</v>
      </c>
      <c r="N19" s="13">
        <f>Test!D17</f>
        <v>40.380800000000001</v>
      </c>
      <c r="O19" s="13">
        <f>Test!E17</f>
        <v>43.293399999999998</v>
      </c>
      <c r="P19" s="13">
        <f>Test!F17</f>
        <v>86075.125</v>
      </c>
      <c r="Q19" s="13">
        <f>Test!G17</f>
        <v>17.405000000000001</v>
      </c>
      <c r="R19" s="13">
        <f t="shared" si="4"/>
        <v>23.909756944444446</v>
      </c>
      <c r="S19" s="12">
        <f t="shared" si="5"/>
        <v>1.0319812039298841</v>
      </c>
      <c r="T19" s="13">
        <f t="shared" si="6"/>
        <v>1.0505190729116369</v>
      </c>
      <c r="U19" s="90"/>
      <c r="V19" s="42">
        <f>bdrate($D19:$D22,E19:E22,$L19:$L22,M19:M22)</f>
        <v>-1.4130944119901123E-3</v>
      </c>
      <c r="W19" s="42">
        <f>bdrate($D19:$D22,F19:F22,$L19:$L22,N19:N22)</f>
        <v>-3.0559926169239082E-3</v>
      </c>
      <c r="X19" s="42">
        <f>bdrate($D19:$D22,G19:G22,$L19:$L22,O19:O22)</f>
        <v>-1.056685982608474E-2</v>
      </c>
      <c r="Y19" s="40">
        <f>bdrateOld($D19:$D22,E19:E22,$L19:$L22,M19:M22)</f>
        <v>-1.4134547038008316E-3</v>
      </c>
      <c r="Z19" s="44">
        <f>bdrateOld($D19:$D22,F19:F22,$L19:$L22,N19:N22)</f>
        <v>-3.0404764103098003E-3</v>
      </c>
      <c r="AA19" s="45">
        <f>bdrateOld($D19:$D22,G19:G22,$L19:$L22,O19:O22)</f>
        <v>-1.0460630971341089E-2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40723.352400000003</v>
      </c>
      <c r="E20" s="18">
        <f>Reference!C18</f>
        <v>37.901800000000001</v>
      </c>
      <c r="F20" s="18">
        <f>Reference!D18</f>
        <v>39.331499999999998</v>
      </c>
      <c r="G20" s="18">
        <f>Reference!E18</f>
        <v>41.799199999999999</v>
      </c>
      <c r="H20" s="18">
        <f>Reference!F18</f>
        <v>55801.535000000003</v>
      </c>
      <c r="I20" s="18">
        <f>Reference!G18</f>
        <v>13.555999999999999</v>
      </c>
      <c r="J20" s="19">
        <f t="shared" si="3"/>
        <v>15.50042638888889</v>
      </c>
      <c r="L20" s="17">
        <f>Test!B18</f>
        <v>40694.165099999998</v>
      </c>
      <c r="M20" s="18">
        <f>Test!C18</f>
        <v>37.903599999999997</v>
      </c>
      <c r="N20" s="18">
        <f>Test!D18</f>
        <v>39.339100000000002</v>
      </c>
      <c r="O20" s="18">
        <f>Test!E18</f>
        <v>41.8279</v>
      </c>
      <c r="P20" s="18">
        <f>Test!F18</f>
        <v>58062.137000000002</v>
      </c>
      <c r="Q20" s="18">
        <f>Test!G18</f>
        <v>14.493</v>
      </c>
      <c r="R20" s="18">
        <f t="shared" si="4"/>
        <v>16.12837138888889</v>
      </c>
      <c r="S20" s="17">
        <f t="shared" si="5"/>
        <v>1.0405114662168344</v>
      </c>
      <c r="T20" s="18">
        <f t="shared" si="6"/>
        <v>1.0691206845677192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23427.676200000002</v>
      </c>
      <c r="E21" s="18">
        <f>Reference!C19</f>
        <v>35.976500000000001</v>
      </c>
      <c r="F21" s="18">
        <f>Reference!D19</f>
        <v>38.403700000000001</v>
      </c>
      <c r="G21" s="18">
        <f>Reference!E19</f>
        <v>40.352200000000003</v>
      </c>
      <c r="H21" s="18">
        <f>Reference!F19</f>
        <v>36929.495999999999</v>
      </c>
      <c r="I21" s="18">
        <f>Reference!G19</f>
        <v>11.624000000000001</v>
      </c>
      <c r="J21" s="19">
        <f t="shared" si="3"/>
        <v>10.258193333333333</v>
      </c>
      <c r="L21" s="17">
        <f>Test!B19</f>
        <v>23458.6603</v>
      </c>
      <c r="M21" s="18">
        <f>Test!C19</f>
        <v>35.987200000000001</v>
      </c>
      <c r="N21" s="18">
        <f>Test!D19</f>
        <v>38.410299999999999</v>
      </c>
      <c r="O21" s="18">
        <f>Test!E19</f>
        <v>40.382100000000001</v>
      </c>
      <c r="P21" s="18">
        <f>Test!F19</f>
        <v>38289.934000000001</v>
      </c>
      <c r="Q21" s="18">
        <f>Test!G19</f>
        <v>12.21</v>
      </c>
      <c r="R21" s="18">
        <f t="shared" si="4"/>
        <v>10.636092777777778</v>
      </c>
      <c r="S21" s="17">
        <f t="shared" si="5"/>
        <v>1.0368387914094468</v>
      </c>
      <c r="T21" s="18">
        <f t="shared" si="6"/>
        <v>1.0504129387474193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11941.644399999999</v>
      </c>
      <c r="E22" s="23">
        <f>Reference!C20</f>
        <v>33.501899999999999</v>
      </c>
      <c r="F22" s="23">
        <f>Reference!D20</f>
        <v>37.166899999999998</v>
      </c>
      <c r="G22" s="23">
        <f>Reference!E20</f>
        <v>38.611499999999999</v>
      </c>
      <c r="H22" s="23">
        <f>Reference!F20</f>
        <v>23019.798999999999</v>
      </c>
      <c r="I22" s="23">
        <f>Reference!G20</f>
        <v>9.8000000000000007</v>
      </c>
      <c r="J22" s="24">
        <f t="shared" si="3"/>
        <v>6.3943886111111112</v>
      </c>
      <c r="L22" s="22">
        <f>Test!B20</f>
        <v>11956.2286</v>
      </c>
      <c r="M22" s="23">
        <f>Test!C20</f>
        <v>33.5122</v>
      </c>
      <c r="N22" s="23">
        <f>Test!D20</f>
        <v>37.170999999999999</v>
      </c>
      <c r="O22" s="23">
        <f>Test!E20</f>
        <v>38.654299999999999</v>
      </c>
      <c r="P22" s="23">
        <f>Test!F20</f>
        <v>23717.16</v>
      </c>
      <c r="Q22" s="23">
        <f>Test!G20</f>
        <v>10.391999999999999</v>
      </c>
      <c r="R22" s="23">
        <f t="shared" si="4"/>
        <v>6.5880999999999998</v>
      </c>
      <c r="S22" s="17">
        <f t="shared" si="5"/>
        <v>1.0302939656423586</v>
      </c>
      <c r="T22" s="18">
        <f t="shared" si="6"/>
        <v>1.060408163265306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42998.7111</v>
      </c>
      <c r="E23" s="13">
        <f>Reference!C21</f>
        <v>40.1858</v>
      </c>
      <c r="F23" s="13">
        <f>Reference!D21</f>
        <v>44.069800000000001</v>
      </c>
      <c r="G23" s="13">
        <f>Reference!E21</f>
        <v>45.479399999999998</v>
      </c>
      <c r="H23" s="13">
        <f>Reference!F21</f>
        <v>63415.538999999997</v>
      </c>
      <c r="I23" s="13">
        <f>Reference!G21</f>
        <v>13.926</v>
      </c>
      <c r="J23" s="14">
        <f t="shared" si="3"/>
        <v>17.615427499999999</v>
      </c>
      <c r="L23" s="12">
        <f>Test!B21</f>
        <v>42969.618999999999</v>
      </c>
      <c r="M23" s="13">
        <f>Test!C21</f>
        <v>40.189900000000002</v>
      </c>
      <c r="N23" s="13">
        <f>Test!D21</f>
        <v>44.076000000000001</v>
      </c>
      <c r="O23" s="13">
        <f>Test!E21</f>
        <v>45.491900000000001</v>
      </c>
      <c r="P23" s="13">
        <f>Test!F21</f>
        <v>66228.608999999997</v>
      </c>
      <c r="Q23" s="13">
        <f>Test!G21</f>
        <v>14.414</v>
      </c>
      <c r="R23" s="13">
        <f t="shared" si="4"/>
        <v>18.396835833333334</v>
      </c>
      <c r="S23" s="17">
        <f t="shared" si="5"/>
        <v>1.0443593170437295</v>
      </c>
      <c r="T23" s="18">
        <f t="shared" si="6"/>
        <v>1.0350423667959212</v>
      </c>
      <c r="U23" s="91"/>
      <c r="V23" s="42">
        <f>bdrate($D23:$D26,E23:E26,$L23:$L26,M23:M26)</f>
        <v>-4.9197230745571252E-3</v>
      </c>
      <c r="W23" s="42">
        <f>bdrate($D23:$D26,F23:F26,$L23:$L26,N23:N26)</f>
        <v>-4.7957883531791756E-3</v>
      </c>
      <c r="X23" s="42">
        <f>bdrate($D23:$D26,G23:G26,$L23:$L26,O23:O26)</f>
        <v>-5.2699449960166289E-3</v>
      </c>
      <c r="Y23" s="40">
        <f>bdrateOld($D23:$D26,E23:E26,$L23:$L26,M23:M26)</f>
        <v>-4.881898877999391E-3</v>
      </c>
      <c r="Z23" s="44">
        <f>bdrateOld($D23:$D26,F23:F26,$L23:$L26,N23:N26)</f>
        <v>-4.8781244982993854E-3</v>
      </c>
      <c r="AA23" s="45">
        <f>bdrateOld($D23:$D26,G23:G26,$L23:$L26,O23:O26)</f>
        <v>-5.2318933773857212E-3</v>
      </c>
    </row>
    <row r="24" spans="1:27" x14ac:dyDescent="0.2">
      <c r="A24" s="34"/>
      <c r="B24" s="85"/>
      <c r="C24" s="16">
        <v>32</v>
      </c>
      <c r="D24" s="17">
        <f>Reference!B22</f>
        <v>23403.2127</v>
      </c>
      <c r="E24" s="18">
        <f>Reference!C22</f>
        <v>38.706299999999999</v>
      </c>
      <c r="F24" s="18">
        <f>Reference!D22</f>
        <v>43.029899999999998</v>
      </c>
      <c r="G24" s="18">
        <f>Reference!E22</f>
        <v>43.958799999999997</v>
      </c>
      <c r="H24" s="18">
        <f>Reference!F22</f>
        <v>40568.847999999998</v>
      </c>
      <c r="I24" s="18">
        <f>Reference!G22</f>
        <v>11.724</v>
      </c>
      <c r="J24" s="19">
        <f t="shared" si="3"/>
        <v>11.269124444444444</v>
      </c>
      <c r="L24" s="17">
        <f>Test!B22</f>
        <v>23379.828600000001</v>
      </c>
      <c r="M24" s="18">
        <f>Test!C22</f>
        <v>38.715400000000002</v>
      </c>
      <c r="N24" s="18">
        <f>Test!D22</f>
        <v>43.0366</v>
      </c>
      <c r="O24" s="18">
        <f>Test!E22</f>
        <v>43.969000000000001</v>
      </c>
      <c r="P24" s="18">
        <f>Test!F22</f>
        <v>42475.535000000003</v>
      </c>
      <c r="Q24" s="18">
        <f>Test!G22</f>
        <v>12.073</v>
      </c>
      <c r="R24" s="18">
        <f t="shared" si="4"/>
        <v>11.798759722222224</v>
      </c>
      <c r="S24" s="17">
        <f t="shared" si="5"/>
        <v>1.0469987957262183</v>
      </c>
      <c r="T24" s="18">
        <f t="shared" si="6"/>
        <v>1.0297679972705562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13142.7556</v>
      </c>
      <c r="E25" s="18">
        <f>Reference!C23</f>
        <v>37.247100000000003</v>
      </c>
      <c r="F25" s="18">
        <f>Reference!D23</f>
        <v>41.877899999999997</v>
      </c>
      <c r="G25" s="18">
        <f>Reference!E23</f>
        <v>42.365000000000002</v>
      </c>
      <c r="H25" s="18">
        <f>Reference!F23</f>
        <v>25624.074000000001</v>
      </c>
      <c r="I25" s="18">
        <f>Reference!G23</f>
        <v>10.115</v>
      </c>
      <c r="J25" s="19">
        <f t="shared" si="3"/>
        <v>7.1177983333333339</v>
      </c>
      <c r="L25" s="17">
        <f>Test!B23</f>
        <v>13124.9079</v>
      </c>
      <c r="M25" s="18">
        <f>Test!C23</f>
        <v>37.258200000000002</v>
      </c>
      <c r="N25" s="18">
        <f>Test!D23</f>
        <v>41.8872</v>
      </c>
      <c r="O25" s="18">
        <f>Test!E23</f>
        <v>42.374200000000002</v>
      </c>
      <c r="P25" s="18">
        <f>Test!F23</f>
        <v>26693.883000000002</v>
      </c>
      <c r="Q25" s="18">
        <f>Test!G23</f>
        <v>10.906000000000001</v>
      </c>
      <c r="R25" s="18">
        <f t="shared" si="4"/>
        <v>7.4149675000000004</v>
      </c>
      <c r="S25" s="17">
        <f t="shared" si="5"/>
        <v>1.0417501526103929</v>
      </c>
      <c r="T25" s="18">
        <f t="shared" si="6"/>
        <v>1.0782006920415226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7014.4825000000001</v>
      </c>
      <c r="E26" s="23">
        <f>Reference!C24</f>
        <v>35.314500000000002</v>
      </c>
      <c r="F26" s="23">
        <f>Reference!D24</f>
        <v>40.353499999999997</v>
      </c>
      <c r="G26" s="23">
        <f>Reference!E24</f>
        <v>40.3825</v>
      </c>
      <c r="H26" s="23">
        <f>Reference!F24</f>
        <v>15161.656999999999</v>
      </c>
      <c r="I26" s="23">
        <f>Reference!G24</f>
        <v>8.9870000000000001</v>
      </c>
      <c r="J26" s="24">
        <f t="shared" si="3"/>
        <v>4.2115713888888884</v>
      </c>
      <c r="L26" s="22">
        <f>Test!B24</f>
        <v>7012.0443999999998</v>
      </c>
      <c r="M26" s="23">
        <f>Test!C24</f>
        <v>35.334099999999999</v>
      </c>
      <c r="N26" s="23">
        <f>Test!D24</f>
        <v>40.360799999999998</v>
      </c>
      <c r="O26" s="23">
        <f>Test!E24</f>
        <v>40.408000000000001</v>
      </c>
      <c r="P26" s="23">
        <f>Test!F24</f>
        <v>15910.125</v>
      </c>
      <c r="Q26" s="23">
        <f>Test!G24</f>
        <v>9.7959999999999994</v>
      </c>
      <c r="R26" s="23">
        <f t="shared" si="4"/>
        <v>4.4194791666666671</v>
      </c>
      <c r="S26" s="17">
        <f t="shared" si="5"/>
        <v>1.0493658443796743</v>
      </c>
      <c r="T26" s="18">
        <f t="shared" si="6"/>
        <v>1.0900189162123066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65111.648000000001</v>
      </c>
      <c r="E27" s="13">
        <f>Reference!C25</f>
        <v>41.688299999999998</v>
      </c>
      <c r="F27" s="13">
        <f>Reference!D25</f>
        <v>44.173999999999999</v>
      </c>
      <c r="G27" s="13">
        <f>Reference!E25</f>
        <v>44.928199999999997</v>
      </c>
      <c r="H27" s="13">
        <f>Reference!F25</f>
        <v>70876.75</v>
      </c>
      <c r="I27" s="13">
        <f>Reference!G25</f>
        <v>17.605</v>
      </c>
      <c r="J27" s="14">
        <f>H27/3600</f>
        <v>19.687986111111112</v>
      </c>
      <c r="L27" s="12">
        <f>Test!B25</f>
        <v>65132.2304</v>
      </c>
      <c r="M27" s="13">
        <f>Test!C25</f>
        <v>41.6967</v>
      </c>
      <c r="N27" s="13">
        <f>Test!D25</f>
        <v>44.177500000000002</v>
      </c>
      <c r="O27" s="13">
        <f>Test!E25</f>
        <v>44.939700000000002</v>
      </c>
      <c r="P27" s="13">
        <f>Test!F25</f>
        <v>73486.875</v>
      </c>
      <c r="Q27" s="13">
        <f>Test!G25</f>
        <v>18.437000000000001</v>
      </c>
      <c r="R27" s="13">
        <f>P27/3600</f>
        <v>20.413020833333334</v>
      </c>
      <c r="S27" s="17">
        <f>P27/H27</f>
        <v>1.0368262512036739</v>
      </c>
      <c r="T27" s="18">
        <f>Q27/I27</f>
        <v>1.0472593013348481</v>
      </c>
      <c r="U27" s="91"/>
      <c r="V27" s="42">
        <f>bdrate($D27:$D30,E27:E30,$L27:$L30,M27:M30)</f>
        <v>-2.0615583216707645E-3</v>
      </c>
      <c r="W27" s="42">
        <f>bdrate($D27:$D30,F27:F30,$L27:$L30,N27:N30)</f>
        <v>4.5982742423955614E-5</v>
      </c>
      <c r="X27" s="43">
        <f>bdrate($D27:$D30,G27:G30,$L27:$L30,O27:O30)</f>
        <v>-3.7646961399179224E-3</v>
      </c>
      <c r="Y27" s="37">
        <f>bdrateOld($D27:$D30,E27:E30,$L27:$L30,M27:M30)</f>
        <v>-2.0100084854464129E-3</v>
      </c>
      <c r="Z27" s="42">
        <f>bdrateOld($D27:$D30,F27:F30,$L27:$L30,N27:N30)</f>
        <v>5.8551288648844846E-5</v>
      </c>
      <c r="AA27" s="43">
        <f>bdrateOld($D27:$D30,G27:G30,$L27:$L30,O27:O30)</f>
        <v>-3.7774239975378876E-3</v>
      </c>
    </row>
    <row r="28" spans="1:27" x14ac:dyDescent="0.2">
      <c r="A28" s="16"/>
      <c r="B28" s="85"/>
      <c r="C28" s="16">
        <v>48</v>
      </c>
      <c r="D28" s="17">
        <f>Reference!B26</f>
        <v>41955.462399999997</v>
      </c>
      <c r="E28" s="18">
        <f>Reference!C26</f>
        <v>39.8904</v>
      </c>
      <c r="F28" s="18">
        <f>Reference!D26</f>
        <v>42.6511</v>
      </c>
      <c r="G28" s="18">
        <f>Reference!E26</f>
        <v>43.607799999999997</v>
      </c>
      <c r="H28" s="18">
        <f>Reference!F26</f>
        <v>50830.684000000001</v>
      </c>
      <c r="I28" s="18">
        <f>Reference!G26</f>
        <v>14.885999999999999</v>
      </c>
      <c r="J28" s="19">
        <f t="shared" ref="J28:J46" si="7">H28/3600</f>
        <v>14.119634444444445</v>
      </c>
      <c r="L28" s="17">
        <f>Test!B26</f>
        <v>41949.356800000001</v>
      </c>
      <c r="M28" s="18">
        <f>Test!C26</f>
        <v>39.901499999999999</v>
      </c>
      <c r="N28" s="18">
        <f>Test!D26</f>
        <v>42.652099999999997</v>
      </c>
      <c r="O28" s="18">
        <f>Test!E26</f>
        <v>43.618299999999998</v>
      </c>
      <c r="P28" s="18">
        <f>Test!F26</f>
        <v>52939.440999999999</v>
      </c>
      <c r="Q28" s="18">
        <f>Test!G26</f>
        <v>16.062999999999999</v>
      </c>
      <c r="R28" s="18">
        <f t="shared" ref="R28:R46" si="8">P28/3600</f>
        <v>14.705400277777777</v>
      </c>
      <c r="S28" s="17">
        <f t="shared" ref="S28:S46" si="9">P28/H28</f>
        <v>1.0414859064261264</v>
      </c>
      <c r="T28" s="18">
        <f t="shared" ref="T28:T46" si="10">Q28/I28</f>
        <v>1.0790675802767702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24654.604800000001</v>
      </c>
      <c r="E29" s="18">
        <f>Reference!C27</f>
        <v>37.674399999999999</v>
      </c>
      <c r="F29" s="18">
        <f>Reference!D27</f>
        <v>41.263500000000001</v>
      </c>
      <c r="G29" s="18">
        <f>Reference!E27</f>
        <v>42.248800000000003</v>
      </c>
      <c r="H29" s="18">
        <f>Reference!F27</f>
        <v>34752.644999999997</v>
      </c>
      <c r="I29" s="18">
        <f>Reference!G27</f>
        <v>13.478999999999999</v>
      </c>
      <c r="J29" s="19">
        <f t="shared" si="7"/>
        <v>9.6535124999999997</v>
      </c>
      <c r="L29" s="17">
        <f>Test!B27</f>
        <v>24656.844799999999</v>
      </c>
      <c r="M29" s="18">
        <f>Test!C27</f>
        <v>37.682299999999998</v>
      </c>
      <c r="N29" s="18">
        <f>Test!D27</f>
        <v>41.2622</v>
      </c>
      <c r="O29" s="18">
        <f>Test!E27</f>
        <v>42.259399999999999</v>
      </c>
      <c r="P29" s="18">
        <f>Test!F27</f>
        <v>35685.061999999998</v>
      </c>
      <c r="Q29" s="18">
        <f>Test!G27</f>
        <v>14.039</v>
      </c>
      <c r="R29" s="18">
        <f t="shared" si="8"/>
        <v>9.9125172222222222</v>
      </c>
      <c r="S29" s="17">
        <f t="shared" si="9"/>
        <v>1.0268301017088053</v>
      </c>
      <c r="T29" s="18">
        <f t="shared" si="10"/>
        <v>1.0415461087617777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12459.2768</v>
      </c>
      <c r="E30" s="23">
        <f>Reference!C28</f>
        <v>34.997199999999999</v>
      </c>
      <c r="F30" s="23">
        <f>Reference!D28</f>
        <v>39.688800000000001</v>
      </c>
      <c r="G30" s="23">
        <f>Reference!E28</f>
        <v>40.598300000000002</v>
      </c>
      <c r="H30" s="23">
        <f>Reference!F28</f>
        <v>21409.011999999999</v>
      </c>
      <c r="I30" s="23">
        <f>Reference!G28</f>
        <v>11.606</v>
      </c>
      <c r="J30" s="24">
        <f t="shared" si="7"/>
        <v>5.9469477777777771</v>
      </c>
      <c r="L30" s="22">
        <f>Test!B28</f>
        <v>12470.1824</v>
      </c>
      <c r="M30" s="23">
        <f>Test!C28</f>
        <v>35.005499999999998</v>
      </c>
      <c r="N30" s="23">
        <f>Test!D28</f>
        <v>39.689799999999998</v>
      </c>
      <c r="O30" s="23">
        <f>Test!E28</f>
        <v>40.6066</v>
      </c>
      <c r="P30" s="23">
        <f>Test!F28</f>
        <v>21962.032999999999</v>
      </c>
      <c r="Q30" s="23">
        <f>Test!G28</f>
        <v>11.984</v>
      </c>
      <c r="R30" s="23">
        <f t="shared" si="8"/>
        <v>6.1005647222222219</v>
      </c>
      <c r="S30" s="17">
        <f t="shared" si="9"/>
        <v>1.0258312247197583</v>
      </c>
      <c r="T30" s="18">
        <f t="shared" si="10"/>
        <v>1.0325693606755126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39891.321600000003</v>
      </c>
      <c r="E31" s="13">
        <f>Reference!C29</f>
        <v>44.859499999999997</v>
      </c>
      <c r="F31" s="13">
        <f>Reference!D29</f>
        <v>47.069299999999998</v>
      </c>
      <c r="G31" s="13">
        <f>Reference!E29</f>
        <v>48.015999999999998</v>
      </c>
      <c r="H31" s="13">
        <f>Reference!F29</f>
        <v>49529.031000000003</v>
      </c>
      <c r="I31" s="13">
        <f>Reference!G29</f>
        <v>15.221</v>
      </c>
      <c r="J31" s="14">
        <f t="shared" si="7"/>
        <v>13.758064166666667</v>
      </c>
      <c r="L31" s="12">
        <f>Test!B29</f>
        <v>39884.294399999999</v>
      </c>
      <c r="M31" s="13">
        <f>Test!C29</f>
        <v>44.871200000000002</v>
      </c>
      <c r="N31" s="13">
        <f>Test!D29</f>
        <v>47.074300000000001</v>
      </c>
      <c r="O31" s="13">
        <f>Test!E29</f>
        <v>48.030500000000004</v>
      </c>
      <c r="P31" s="13">
        <f>Test!F29</f>
        <v>51259.112999999998</v>
      </c>
      <c r="Q31" s="13">
        <f>Test!G29</f>
        <v>15.791</v>
      </c>
      <c r="R31" s="13">
        <f t="shared" si="8"/>
        <v>14.238642499999999</v>
      </c>
      <c r="S31" s="17">
        <f t="shared" si="9"/>
        <v>1.0349306652092587</v>
      </c>
      <c r="T31" s="18">
        <f t="shared" si="10"/>
        <v>1.0374482622692334</v>
      </c>
      <c r="U31" s="91"/>
      <c r="V31" s="42">
        <f>bdrate($D31:$D34,E31:E34,$L31:$L34,M31:M34)</f>
        <v>-1.8422724080959796E-3</v>
      </c>
      <c r="W31" s="42">
        <f>bdrate($D31:$D34,F31:F34,$L31:$L34,N31:N34)</f>
        <v>3.7416343768859051E-4</v>
      </c>
      <c r="X31" s="42">
        <f>bdrate($D31:$D34,G31:G34,$L31:$L34,O31:O34)</f>
        <v>7.0810679736821314E-4</v>
      </c>
      <c r="Y31" s="40">
        <f>bdrateOld($D31:$D34,E31:E34,$L31:$L34,M31:M34)</f>
        <v>-1.8428703122440604E-3</v>
      </c>
      <c r="Z31" s="44">
        <f>bdrateOld($D31:$D34,F31:F34,$L31:$L34,N31:N34)</f>
        <v>3.5965925679892763E-4</v>
      </c>
      <c r="AA31" s="45">
        <f>bdrateOld($D31:$D34,G31:G34,$L31:$L34,O31:O34)</f>
        <v>7.1693254123039729E-4</v>
      </c>
    </row>
    <row r="32" spans="1:27" x14ac:dyDescent="0.2">
      <c r="A32" s="16"/>
      <c r="B32" s="85"/>
      <c r="C32" s="16">
        <v>48</v>
      </c>
      <c r="D32" s="17">
        <f>Reference!B30</f>
        <v>26307.430400000001</v>
      </c>
      <c r="E32" s="18">
        <f>Reference!C30</f>
        <v>42.712499999999999</v>
      </c>
      <c r="F32" s="18">
        <f>Reference!D30</f>
        <v>45.302399999999999</v>
      </c>
      <c r="G32" s="18">
        <f>Reference!E30</f>
        <v>46.144399999999997</v>
      </c>
      <c r="H32" s="18">
        <f>Reference!F30</f>
        <v>37273.504000000001</v>
      </c>
      <c r="I32" s="18">
        <f>Reference!G30</f>
        <v>13.754</v>
      </c>
      <c r="J32" s="19">
        <f t="shared" si="7"/>
        <v>10.35375111111111</v>
      </c>
      <c r="L32" s="17">
        <f>Test!B30</f>
        <v>26318.323199999999</v>
      </c>
      <c r="M32" s="18">
        <f>Test!C30</f>
        <v>42.7258</v>
      </c>
      <c r="N32" s="18">
        <f>Test!D30</f>
        <v>45.315100000000001</v>
      </c>
      <c r="O32" s="18">
        <f>Test!E30</f>
        <v>46.151800000000001</v>
      </c>
      <c r="P32" s="18">
        <f>Test!F30</f>
        <v>38880.781000000003</v>
      </c>
      <c r="Q32" s="18">
        <f>Test!G30</f>
        <v>14.901</v>
      </c>
      <c r="R32" s="18">
        <f t="shared" si="8"/>
        <v>10.800216944444445</v>
      </c>
      <c r="S32" s="17">
        <f t="shared" si="9"/>
        <v>1.0431211672506024</v>
      </c>
      <c r="T32" s="18">
        <f t="shared" si="10"/>
        <v>1.0833939217682129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15583.046399999999</v>
      </c>
      <c r="E33" s="18">
        <f>Reference!C31</f>
        <v>40.039299999999997</v>
      </c>
      <c r="F33" s="18">
        <f>Reference!D31</f>
        <v>43.6798</v>
      </c>
      <c r="G33" s="18">
        <f>Reference!E31</f>
        <v>44.342700000000001</v>
      </c>
      <c r="H33" s="18">
        <f>Reference!F31</f>
        <v>26091.572</v>
      </c>
      <c r="I33" s="18">
        <f>Reference!G31</f>
        <v>12.345000000000001</v>
      </c>
      <c r="J33" s="19">
        <f t="shared" si="7"/>
        <v>7.2476588888888891</v>
      </c>
      <c r="L33" s="17">
        <f>Test!B31</f>
        <v>15598.6752</v>
      </c>
      <c r="M33" s="18">
        <f>Test!C31</f>
        <v>40.0533</v>
      </c>
      <c r="N33" s="18">
        <f>Test!D31</f>
        <v>43.674500000000002</v>
      </c>
      <c r="O33" s="18">
        <f>Test!E31</f>
        <v>44.338799999999999</v>
      </c>
      <c r="P33" s="18">
        <f>Test!F31</f>
        <v>26944.478999999999</v>
      </c>
      <c r="Q33" s="18">
        <f>Test!G31</f>
        <v>12.847</v>
      </c>
      <c r="R33" s="18">
        <f t="shared" si="8"/>
        <v>7.4845774999999994</v>
      </c>
      <c r="S33" s="17">
        <f t="shared" si="9"/>
        <v>1.0326889847802194</v>
      </c>
      <c r="T33" s="18">
        <f t="shared" si="10"/>
        <v>1.0406642365330092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8138.0672000000004</v>
      </c>
      <c r="E34" s="23">
        <f>Reference!C32</f>
        <v>36.983899999999998</v>
      </c>
      <c r="F34" s="23">
        <f>Reference!D32</f>
        <v>41.812800000000003</v>
      </c>
      <c r="G34" s="23">
        <f>Reference!E32</f>
        <v>42.187600000000003</v>
      </c>
      <c r="H34" s="23">
        <f>Reference!F32</f>
        <v>16215.302</v>
      </c>
      <c r="I34" s="23">
        <f>Reference!G32</f>
        <v>10.476000000000001</v>
      </c>
      <c r="J34" s="24">
        <f t="shared" si="7"/>
        <v>4.5042505555555552</v>
      </c>
      <c r="L34" s="22">
        <f>Test!B32</f>
        <v>8142.5792000000001</v>
      </c>
      <c r="M34" s="23">
        <f>Test!C32</f>
        <v>36.989899999999999</v>
      </c>
      <c r="N34" s="23">
        <f>Test!D32</f>
        <v>41.802399999999999</v>
      </c>
      <c r="O34" s="23">
        <f>Test!E32</f>
        <v>42.172800000000002</v>
      </c>
      <c r="P34" s="23">
        <f>Test!F32</f>
        <v>16577.736000000001</v>
      </c>
      <c r="Q34" s="23">
        <f>Test!G32</f>
        <v>11.122999999999999</v>
      </c>
      <c r="R34" s="23">
        <f t="shared" si="8"/>
        <v>4.6049266666666666</v>
      </c>
      <c r="S34" s="17">
        <f t="shared" si="9"/>
        <v>1.0223513567616564</v>
      </c>
      <c r="T34" s="18">
        <f t="shared" si="10"/>
        <v>1.0617602138220694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54232.108800000002</v>
      </c>
      <c r="E35" s="13">
        <f>Reference!C33</f>
        <v>41.691600000000001</v>
      </c>
      <c r="F35" s="13">
        <f>Reference!D33</f>
        <v>45.695700000000002</v>
      </c>
      <c r="G35" s="13">
        <f>Reference!E33</f>
        <v>46.055199999999999</v>
      </c>
      <c r="H35" s="13">
        <f>Reference!F33</f>
        <v>48561.913999999997</v>
      </c>
      <c r="I35" s="13">
        <f>Reference!G33</f>
        <v>9.718</v>
      </c>
      <c r="J35" s="14">
        <f t="shared" si="7"/>
        <v>13.489420555555554</v>
      </c>
      <c r="L35" s="12">
        <f>Test!B33</f>
        <v>54207.001600000003</v>
      </c>
      <c r="M35" s="13">
        <f>Test!C33</f>
        <v>41.692</v>
      </c>
      <c r="N35" s="13">
        <f>Test!D33</f>
        <v>45.704300000000003</v>
      </c>
      <c r="O35" s="13">
        <f>Test!E33</f>
        <v>46.062899999999999</v>
      </c>
      <c r="P35" s="13">
        <f>Test!F33</f>
        <v>50450.016000000003</v>
      </c>
      <c r="Q35" s="13">
        <f>Test!G33</f>
        <v>10.23</v>
      </c>
      <c r="R35" s="13">
        <f t="shared" si="8"/>
        <v>14.013893333333334</v>
      </c>
      <c r="S35" s="12">
        <f t="shared" si="9"/>
        <v>1.0388803044295167</v>
      </c>
      <c r="T35" s="13">
        <f t="shared" si="10"/>
        <v>1.0526857378061329</v>
      </c>
      <c r="U35" s="90"/>
      <c r="V35" s="42">
        <f>bdrate($D35:$D38,E35:E38,$L35:$L38,M35:M38)</f>
        <v>-3.7530800779979057E-3</v>
      </c>
      <c r="W35" s="42">
        <f>bdrate($D35:$D38,F35:F38,$L35:$L38,N35:N38)</f>
        <v>-3.927237740664502E-3</v>
      </c>
      <c r="X35" s="42">
        <f>bdrate($D35:$D38,G35:G38,$L35:$L38,O35:O38)</f>
        <v>-2.1039303348497906E-3</v>
      </c>
      <c r="Y35" s="40">
        <f>bdrateOld($D35:$D38,E35:E38,$L35:$L38,M35:M38)</f>
        <v>-3.7085591588041922E-3</v>
      </c>
      <c r="Z35" s="44">
        <f>bdrateOld($D35:$D38,F35:F38,$L35:$L38,N35:N38)</f>
        <v>-3.9436364828571158E-3</v>
      </c>
      <c r="AA35" s="45">
        <f>bdrateOld($D35:$D38,G35:G38,$L35:$L38,O35:O38)</f>
        <v>-2.4733294465905109E-3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37054.7264</v>
      </c>
      <c r="E36" s="18">
        <f>Reference!C34</f>
        <v>38.760300000000001</v>
      </c>
      <c r="F36" s="18">
        <f>Reference!D34</f>
        <v>43.735900000000001</v>
      </c>
      <c r="G36" s="18">
        <f>Reference!E34</f>
        <v>44.156500000000001</v>
      </c>
      <c r="H36" s="18">
        <f>Reference!F34</f>
        <v>39690.843999999997</v>
      </c>
      <c r="I36" s="18">
        <f>Reference!G34</f>
        <v>8.7309999999999999</v>
      </c>
      <c r="J36" s="19">
        <f t="shared" si="7"/>
        <v>11.025234444444443</v>
      </c>
      <c r="L36" s="17">
        <f>Test!B34</f>
        <v>37002.419199999997</v>
      </c>
      <c r="M36" s="18">
        <f>Test!C34</f>
        <v>38.774000000000001</v>
      </c>
      <c r="N36" s="18">
        <f>Test!D34</f>
        <v>43.741799999999998</v>
      </c>
      <c r="O36" s="18">
        <f>Test!E34</f>
        <v>44.1708</v>
      </c>
      <c r="P36" s="18">
        <f>Test!F34</f>
        <v>41071.125</v>
      </c>
      <c r="Q36" s="18">
        <f>Test!G34</f>
        <v>9.4079999999999995</v>
      </c>
      <c r="R36" s="18">
        <f t="shared" si="8"/>
        <v>11.408645833333333</v>
      </c>
      <c r="S36" s="17">
        <f t="shared" si="9"/>
        <v>1.0347758037092889</v>
      </c>
      <c r="T36" s="18">
        <f t="shared" si="10"/>
        <v>1.0775398007101133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22016.6528</v>
      </c>
      <c r="E37" s="18">
        <f>Reference!C35</f>
        <v>35.389600000000002</v>
      </c>
      <c r="F37" s="18">
        <f>Reference!D35</f>
        <v>42.098399999999998</v>
      </c>
      <c r="G37" s="18">
        <f>Reference!E35</f>
        <v>42.624099999999999</v>
      </c>
      <c r="H37" s="18">
        <f>Reference!F35</f>
        <v>29636.226999999999</v>
      </c>
      <c r="I37" s="18">
        <f>Reference!G35</f>
        <v>7.35</v>
      </c>
      <c r="J37" s="19">
        <f t="shared" si="7"/>
        <v>8.2322852777777769</v>
      </c>
      <c r="L37" s="17">
        <f>Test!B35</f>
        <v>22006.892800000001</v>
      </c>
      <c r="M37" s="18">
        <f>Test!C35</f>
        <v>35.409599999999998</v>
      </c>
      <c r="N37" s="18">
        <f>Test!D35</f>
        <v>42.109400000000001</v>
      </c>
      <c r="O37" s="18">
        <f>Test!E35</f>
        <v>42.617699999999999</v>
      </c>
      <c r="P37" s="18">
        <f>Test!F35</f>
        <v>30615.440999999999</v>
      </c>
      <c r="Q37" s="18">
        <f>Test!G35</f>
        <v>7.69</v>
      </c>
      <c r="R37" s="18">
        <f t="shared" si="8"/>
        <v>8.5042891666666662</v>
      </c>
      <c r="S37" s="17">
        <f t="shared" si="9"/>
        <v>1.0330411155239161</v>
      </c>
      <c r="T37" s="18">
        <f t="shared" si="10"/>
        <v>1.0462585034013607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10870.5728</v>
      </c>
      <c r="E38" s="23">
        <f>Reference!C36</f>
        <v>31.769400000000001</v>
      </c>
      <c r="F38" s="23">
        <f>Reference!D36</f>
        <v>40.547600000000003</v>
      </c>
      <c r="G38" s="23">
        <f>Reference!E36</f>
        <v>41.185200000000002</v>
      </c>
      <c r="H38" s="23">
        <f>Reference!F36</f>
        <v>19218.695</v>
      </c>
      <c r="I38" s="23">
        <f>Reference!G36</f>
        <v>5.8949999999999996</v>
      </c>
      <c r="J38" s="24">
        <f t="shared" si="7"/>
        <v>5.338526388888889</v>
      </c>
      <c r="L38" s="22">
        <f>Test!B36</f>
        <v>10857.337600000001</v>
      </c>
      <c r="M38" s="23">
        <f>Test!C36</f>
        <v>31.7957</v>
      </c>
      <c r="N38" s="23">
        <f>Test!D36</f>
        <v>40.561199999999999</v>
      </c>
      <c r="O38" s="23">
        <f>Test!E36</f>
        <v>41.189799999999998</v>
      </c>
      <c r="P38" s="23">
        <f>Test!F36</f>
        <v>19919.342000000001</v>
      </c>
      <c r="Q38" s="23">
        <f>Test!G36</f>
        <v>6.38</v>
      </c>
      <c r="R38" s="23">
        <f t="shared" si="8"/>
        <v>5.5331505555555553</v>
      </c>
      <c r="S38" s="17">
        <f t="shared" si="9"/>
        <v>1.0364565335991855</v>
      </c>
      <c r="T38" s="18">
        <f t="shared" si="10"/>
        <v>1.0822731128074641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20390.604800000001</v>
      </c>
      <c r="E39" s="13">
        <f>Reference!C37</f>
        <v>42.667299999999997</v>
      </c>
      <c r="F39" s="13">
        <f>Reference!D37</f>
        <v>45.424700000000001</v>
      </c>
      <c r="G39" s="13">
        <f>Reference!E37</f>
        <v>46.883699999999997</v>
      </c>
      <c r="H39" s="13">
        <f>Reference!F37</f>
        <v>27430.721000000001</v>
      </c>
      <c r="I39" s="13">
        <f>Reference!G37</f>
        <v>6.7460000000000004</v>
      </c>
      <c r="J39" s="14">
        <f t="shared" si="7"/>
        <v>7.6196447222222226</v>
      </c>
      <c r="L39" s="12">
        <f>Test!B37</f>
        <v>20385.977599999998</v>
      </c>
      <c r="M39" s="13">
        <f>Test!C37</f>
        <v>42.6738</v>
      </c>
      <c r="N39" s="13">
        <f>Test!D37</f>
        <v>45.431699999999999</v>
      </c>
      <c r="O39" s="13">
        <f>Test!E37</f>
        <v>46.899099999999997</v>
      </c>
      <c r="P39" s="13">
        <f>Test!F37</f>
        <v>28670.528999999999</v>
      </c>
      <c r="Q39" s="13">
        <f>Test!G37</f>
        <v>7.1589999999999998</v>
      </c>
      <c r="R39" s="13">
        <f t="shared" si="8"/>
        <v>7.964035833333333</v>
      </c>
      <c r="S39" s="17">
        <f t="shared" si="9"/>
        <v>1.0451977911918537</v>
      </c>
      <c r="T39" s="18">
        <f t="shared" si="10"/>
        <v>1.0612214645715978</v>
      </c>
      <c r="U39" s="91"/>
      <c r="V39" s="42">
        <f>bdrate($D39:$D42,E39:E42,$L39:$L42,M39:M42)</f>
        <v>-2.8097085028891966E-3</v>
      </c>
      <c r="W39" s="42">
        <f>bdrate($D39:$D42,F39:F42,$L39:$L42,N39:N42)</f>
        <v>-9.8565462793849257E-3</v>
      </c>
      <c r="X39" s="42">
        <f>bdrate($D39:$D42,G39:G42,$L39:$L42,O39:O42)</f>
        <v>-1.1697221024224991E-3</v>
      </c>
      <c r="Y39" s="40">
        <f>bdrateOld($D39:$D42,E39:E42,$L39:$L42,M39:M42)</f>
        <v>-2.7708786784669259E-3</v>
      </c>
      <c r="Z39" s="44">
        <f>bdrateOld($D39:$D42,F39:F42,$L39:$L42,N39:N42)</f>
        <v>-1.0121831879697618E-2</v>
      </c>
      <c r="AA39" s="45">
        <f>bdrateOld($D39:$D42,G39:G42,$L39:$L42,O39:O42)</f>
        <v>-1.0040686820320666E-3</v>
      </c>
    </row>
    <row r="40" spans="1:27" x14ac:dyDescent="0.2">
      <c r="A40" s="16"/>
      <c r="B40" s="85"/>
      <c r="C40" s="16">
        <v>32</v>
      </c>
      <c r="D40" s="17">
        <f>Reference!B38</f>
        <v>11599.974399999999</v>
      </c>
      <c r="E40" s="18">
        <f>Reference!C38</f>
        <v>40.650100000000002</v>
      </c>
      <c r="F40" s="18">
        <f>Reference!D38</f>
        <v>44.457099999999997</v>
      </c>
      <c r="G40" s="18">
        <f>Reference!E38</f>
        <v>45.218400000000003</v>
      </c>
      <c r="H40" s="18">
        <f>Reference!F38</f>
        <v>18867.379000000001</v>
      </c>
      <c r="I40" s="18">
        <f>Reference!G38</f>
        <v>5.8390000000000004</v>
      </c>
      <c r="J40" s="19">
        <f t="shared" si="7"/>
        <v>5.2409386111111109</v>
      </c>
      <c r="L40" s="17">
        <f>Test!B38</f>
        <v>11590.6176</v>
      </c>
      <c r="M40" s="18">
        <f>Test!C38</f>
        <v>40.659399999999998</v>
      </c>
      <c r="N40" s="18">
        <f>Test!D38</f>
        <v>44.46</v>
      </c>
      <c r="O40" s="18">
        <f>Test!E38</f>
        <v>45.232199999999999</v>
      </c>
      <c r="P40" s="18">
        <f>Test!F38</f>
        <v>19668.919999999998</v>
      </c>
      <c r="Q40" s="18">
        <f>Test!G38</f>
        <v>6.1239999999999997</v>
      </c>
      <c r="R40" s="18">
        <f t="shared" si="8"/>
        <v>5.4635888888888884</v>
      </c>
      <c r="S40" s="17">
        <f t="shared" si="9"/>
        <v>1.0424829013081254</v>
      </c>
      <c r="T40" s="18">
        <f t="shared" si="10"/>
        <v>1.0488097276930981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6433.0752000000002</v>
      </c>
      <c r="E41" s="18">
        <f>Reference!C39</f>
        <v>38.646500000000003</v>
      </c>
      <c r="F41" s="18">
        <f>Reference!D39</f>
        <v>43.451300000000003</v>
      </c>
      <c r="G41" s="18">
        <f>Reference!E39</f>
        <v>43.488599999999998</v>
      </c>
      <c r="H41" s="18">
        <f>Reference!F39</f>
        <v>12143.112999999999</v>
      </c>
      <c r="I41" s="18">
        <f>Reference!G39</f>
        <v>5.1970000000000001</v>
      </c>
      <c r="J41" s="19">
        <f t="shared" si="7"/>
        <v>3.3730869444444442</v>
      </c>
      <c r="L41" s="17">
        <f>Test!B39</f>
        <v>6422.8352000000004</v>
      </c>
      <c r="M41" s="18">
        <f>Test!C39</f>
        <v>38.649000000000001</v>
      </c>
      <c r="N41" s="18">
        <f>Test!D39</f>
        <v>43.472200000000001</v>
      </c>
      <c r="O41" s="18">
        <f>Test!E39</f>
        <v>43.478400000000001</v>
      </c>
      <c r="P41" s="18">
        <f>Test!F39</f>
        <v>12629.157999999999</v>
      </c>
      <c r="Q41" s="18">
        <f>Test!G39</f>
        <v>5.4219999999999997</v>
      </c>
      <c r="R41" s="18">
        <f t="shared" si="8"/>
        <v>3.5080994444444444</v>
      </c>
      <c r="S41" s="17">
        <f t="shared" si="9"/>
        <v>1.040026391914495</v>
      </c>
      <c r="T41" s="18">
        <f t="shared" si="10"/>
        <v>1.0432942081970367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3281.9456</v>
      </c>
      <c r="E42" s="23">
        <f>Reference!C40</f>
        <v>36.2714</v>
      </c>
      <c r="F42" s="23">
        <f>Reference!D40</f>
        <v>42.055500000000002</v>
      </c>
      <c r="G42" s="23">
        <f>Reference!E40</f>
        <v>41.349200000000003</v>
      </c>
      <c r="H42" s="23">
        <f>Reference!F40</f>
        <v>7088.8050000000003</v>
      </c>
      <c r="I42" s="23">
        <f>Reference!G40</f>
        <v>4.5330000000000004</v>
      </c>
      <c r="J42" s="24">
        <f t="shared" si="7"/>
        <v>1.9691125</v>
      </c>
      <c r="L42" s="22">
        <f>Test!B40</f>
        <v>3275.5583999999999</v>
      </c>
      <c r="M42" s="23">
        <f>Test!C40</f>
        <v>36.2761</v>
      </c>
      <c r="N42" s="23">
        <f>Test!D40</f>
        <v>42.096299999999999</v>
      </c>
      <c r="O42" s="23">
        <f>Test!E40</f>
        <v>41.331200000000003</v>
      </c>
      <c r="P42" s="23">
        <f>Test!F40</f>
        <v>7406.1019999999999</v>
      </c>
      <c r="Q42" s="23">
        <f>Test!G40</f>
        <v>4.8609999999999998</v>
      </c>
      <c r="R42" s="23">
        <f t="shared" si="8"/>
        <v>2.0572505555555556</v>
      </c>
      <c r="S42" s="17">
        <f t="shared" si="9"/>
        <v>1.0447602945771537</v>
      </c>
      <c r="T42" s="18">
        <f t="shared" si="10"/>
        <v>1.072358261636885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15326.464</v>
      </c>
      <c r="E43" s="13">
        <f>Reference!C41</f>
        <v>44.1815</v>
      </c>
      <c r="F43" s="13">
        <f>Reference!D41</f>
        <v>46.9116</v>
      </c>
      <c r="G43" s="13">
        <f>Reference!E41</f>
        <v>47.778799999999997</v>
      </c>
      <c r="H43" s="13">
        <f>Reference!F41</f>
        <v>21788.657999999999</v>
      </c>
      <c r="I43" s="13">
        <f>Reference!G41</f>
        <v>6.3390000000000004</v>
      </c>
      <c r="J43" s="14">
        <f t="shared" si="7"/>
        <v>6.0524050000000003</v>
      </c>
      <c r="L43" s="12">
        <f>Test!B41</f>
        <v>15333.28</v>
      </c>
      <c r="M43" s="13">
        <f>Test!C41</f>
        <v>44.186999999999998</v>
      </c>
      <c r="N43" s="13">
        <f>Test!D41</f>
        <v>46.915700000000001</v>
      </c>
      <c r="O43" s="13">
        <f>Test!E41</f>
        <v>47.784700000000001</v>
      </c>
      <c r="P43" s="13">
        <f>Test!F41</f>
        <v>22651.243999999999</v>
      </c>
      <c r="Q43" s="13">
        <f>Test!G41</f>
        <v>6.6689999999999996</v>
      </c>
      <c r="R43" s="13">
        <f t="shared" si="8"/>
        <v>6.2920122222222217</v>
      </c>
      <c r="S43" s="17">
        <f t="shared" si="9"/>
        <v>1.0395887621899431</v>
      </c>
      <c r="T43" s="18">
        <f t="shared" si="10"/>
        <v>1.0520586843350686</v>
      </c>
      <c r="U43" s="91"/>
      <c r="V43" s="42">
        <f>bdrate($D43:$D46,E43:E46,$L43:$L46,M43:M46)</f>
        <v>-1.0276959383933582E-3</v>
      </c>
      <c r="W43" s="42">
        <f>bdrate($D43:$D46,F43:F46,$L43:$L46,N43:N46)</f>
        <v>-2.1464225420612104E-3</v>
      </c>
      <c r="X43" s="42">
        <f>bdrate($D43:$D46,G43:G46,$L43:$L46,O43:O46)</f>
        <v>2.0629996153143093E-3</v>
      </c>
      <c r="Y43" s="40">
        <f>bdrateOld($D43:$D46,E43:E46,$L43:$L46,M43:M46)</f>
        <v>-9.558177612125629E-4</v>
      </c>
      <c r="Z43" s="44">
        <f>bdrateOld($D43:$D46,F43:F46,$L43:$L46,N43:N46)</f>
        <v>-2.4302027371360113E-3</v>
      </c>
      <c r="AA43" s="45">
        <f>bdrateOld($D43:$D46,G43:G46,$L43:$L46,O43:O46)</f>
        <v>2.4168244780371495E-3</v>
      </c>
    </row>
    <row r="44" spans="1:27" x14ac:dyDescent="0.2">
      <c r="A44" s="16"/>
      <c r="B44" s="85"/>
      <c r="C44" s="16">
        <v>32</v>
      </c>
      <c r="D44" s="17">
        <f>Reference!B42</f>
        <v>10382.924800000001</v>
      </c>
      <c r="E44" s="18">
        <f>Reference!C42</f>
        <v>42.447200000000002</v>
      </c>
      <c r="F44" s="18">
        <f>Reference!D42</f>
        <v>45.676200000000001</v>
      </c>
      <c r="G44" s="18">
        <f>Reference!E42</f>
        <v>46.351399999999998</v>
      </c>
      <c r="H44" s="18">
        <f>Reference!F42</f>
        <v>16203.18</v>
      </c>
      <c r="I44" s="18">
        <f>Reference!G42</f>
        <v>6.0540000000000003</v>
      </c>
      <c r="J44" s="19">
        <f t="shared" si="7"/>
        <v>4.5008833333333333</v>
      </c>
      <c r="L44" s="17">
        <f>Test!B42</f>
        <v>10381.4784</v>
      </c>
      <c r="M44" s="18">
        <f>Test!C42</f>
        <v>42.454000000000001</v>
      </c>
      <c r="N44" s="18">
        <f>Test!D42</f>
        <v>45.677100000000003</v>
      </c>
      <c r="O44" s="18">
        <f>Test!E42</f>
        <v>46.354100000000003</v>
      </c>
      <c r="P44" s="18">
        <f>Test!F42</f>
        <v>16846.557000000001</v>
      </c>
      <c r="Q44" s="18">
        <f>Test!G42</f>
        <v>6.1029999999999998</v>
      </c>
      <c r="R44" s="18">
        <f t="shared" si="8"/>
        <v>4.6795991666666668</v>
      </c>
      <c r="S44" s="17">
        <f t="shared" si="9"/>
        <v>1.0397068353249177</v>
      </c>
      <c r="T44" s="18">
        <f t="shared" si="10"/>
        <v>1.0080938222662701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6558.7327999999998</v>
      </c>
      <c r="E45" s="18">
        <f>Reference!C43</f>
        <v>40.103999999999999</v>
      </c>
      <c r="F45" s="18">
        <f>Reference!D43</f>
        <v>44.288400000000003</v>
      </c>
      <c r="G45" s="18">
        <f>Reference!E43</f>
        <v>44.827599999999997</v>
      </c>
      <c r="H45" s="18">
        <f>Reference!F43</f>
        <v>11504.227999999999</v>
      </c>
      <c r="I45" s="18">
        <f>Reference!G43</f>
        <v>5.2720000000000002</v>
      </c>
      <c r="J45" s="19">
        <f t="shared" si="7"/>
        <v>3.1956188888888888</v>
      </c>
      <c r="L45" s="17">
        <f>Test!B43</f>
        <v>6565.9391999999998</v>
      </c>
      <c r="M45" s="18">
        <f>Test!C43</f>
        <v>40.113399999999999</v>
      </c>
      <c r="N45" s="18">
        <f>Test!D43</f>
        <v>44.306199999999997</v>
      </c>
      <c r="O45" s="18">
        <f>Test!E43</f>
        <v>44.808999999999997</v>
      </c>
      <c r="P45" s="18">
        <f>Test!F43</f>
        <v>11844.957</v>
      </c>
      <c r="Q45" s="18">
        <f>Test!G43</f>
        <v>5.4649999999999999</v>
      </c>
      <c r="R45" s="18">
        <f t="shared" si="8"/>
        <v>3.2902658333333332</v>
      </c>
      <c r="S45" s="17">
        <f t="shared" si="9"/>
        <v>1.0296177196766267</v>
      </c>
      <c r="T45" s="18">
        <f t="shared" si="10"/>
        <v>1.0366084977238239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3793.7984000000001</v>
      </c>
      <c r="E46" s="23">
        <f>Reference!C44</f>
        <v>37.116900000000001</v>
      </c>
      <c r="F46" s="23">
        <f>Reference!D44</f>
        <v>42.518799999999999</v>
      </c>
      <c r="G46" s="23">
        <f>Reference!E44</f>
        <v>42.941099999999999</v>
      </c>
      <c r="H46" s="23">
        <f>Reference!F44</f>
        <v>7476.9459999999999</v>
      </c>
      <c r="I46" s="23">
        <f>Reference!G44</f>
        <v>4.5629999999999997</v>
      </c>
      <c r="J46" s="24">
        <f t="shared" si="7"/>
        <v>2.0769294444444446</v>
      </c>
      <c r="L46" s="22">
        <f>Test!B44</f>
        <v>3798.1376</v>
      </c>
      <c r="M46" s="23">
        <f>Test!C44</f>
        <v>37.1297</v>
      </c>
      <c r="N46" s="23">
        <f>Test!D44</f>
        <v>42.521099999999997</v>
      </c>
      <c r="O46" s="23">
        <f>Test!E44</f>
        <v>42.951700000000002</v>
      </c>
      <c r="P46" s="23">
        <f>Test!F44</f>
        <v>7693.1869999999999</v>
      </c>
      <c r="Q46" s="23">
        <f>Test!G44</f>
        <v>4.9820000000000002</v>
      </c>
      <c r="R46" s="23">
        <f t="shared" si="8"/>
        <v>2.136996388888889</v>
      </c>
      <c r="S46" s="17">
        <f t="shared" si="9"/>
        <v>1.0289210327318132</v>
      </c>
      <c r="T46" s="18">
        <f t="shared" si="10"/>
        <v>1.0918255533640151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16543.328000000001</v>
      </c>
      <c r="E47" s="13">
        <f>Reference!C45</f>
        <v>44.1265</v>
      </c>
      <c r="F47" s="13">
        <f>Reference!D45</f>
        <v>48.393099999999997</v>
      </c>
      <c r="G47" s="13">
        <f>Reference!E45</f>
        <v>48.147599999999997</v>
      </c>
      <c r="H47" s="13">
        <f>Reference!F45</f>
        <v>21669.686000000002</v>
      </c>
      <c r="I47" s="13">
        <f>Reference!G45</f>
        <v>6.2480000000000002</v>
      </c>
      <c r="J47" s="14">
        <f>H47/3600</f>
        <v>6.0193572222222222</v>
      </c>
      <c r="L47" s="12">
        <f>Test!B45</f>
        <v>16545.459200000001</v>
      </c>
      <c r="M47" s="13">
        <f>Test!C45</f>
        <v>44.130200000000002</v>
      </c>
      <c r="N47" s="13">
        <f>Test!D45</f>
        <v>48.399099999999997</v>
      </c>
      <c r="O47" s="13">
        <f>Test!E45</f>
        <v>48.174700000000001</v>
      </c>
      <c r="P47" s="13">
        <f>Test!F45</f>
        <v>22509.541000000001</v>
      </c>
      <c r="Q47" s="13">
        <f>Test!G45</f>
        <v>6.4610000000000003</v>
      </c>
      <c r="R47" s="13">
        <f>P47/3600</f>
        <v>6.2526502777777777</v>
      </c>
      <c r="S47" s="17">
        <f>P47/H47</f>
        <v>1.0387571375053612</v>
      </c>
      <c r="T47" s="18">
        <f>Q47/I47</f>
        <v>1.0340909090909092</v>
      </c>
      <c r="U47" s="91"/>
      <c r="V47" s="42">
        <f>bdrate($D47:$D50,E47:E50,$L47:$L50,M47:M50)</f>
        <v>-3.6251628608653386E-3</v>
      </c>
      <c r="W47" s="42">
        <f>bdrate($D47:$D50,F47:F50,$L47:$L50,N47:N50)</f>
        <v>-1.4167004148780693E-3</v>
      </c>
      <c r="X47" s="43">
        <f>bdrate($D47:$D50,G47:G50,$L47:$L50,O47:O50)</f>
        <v>-3.1641583167749676E-3</v>
      </c>
      <c r="Y47" s="37">
        <f>bdrateOld($D47:$D50,E47:E50,$L47:$L50,M47:M50)</f>
        <v>-3.5782778017530159E-3</v>
      </c>
      <c r="Z47" s="42">
        <f>bdrateOld($D47:$D50,F47:F50,$L47:$L50,N47:N50)</f>
        <v>-1.8747307787631007E-3</v>
      </c>
      <c r="AA47" s="43">
        <f>bdrateOld($D47:$D50,G47:G50,$L47:$L50,O47:O50)</f>
        <v>-3.1077848170280031E-3</v>
      </c>
    </row>
    <row r="48" spans="1:27" x14ac:dyDescent="0.2">
      <c r="A48" s="16"/>
      <c r="B48" s="85"/>
      <c r="C48" s="16">
        <v>32</v>
      </c>
      <c r="D48" s="17">
        <f>Reference!B46</f>
        <v>11480.947200000001</v>
      </c>
      <c r="E48" s="18">
        <f>Reference!C46</f>
        <v>42.376199999999997</v>
      </c>
      <c r="F48" s="18">
        <f>Reference!D46</f>
        <v>47.247100000000003</v>
      </c>
      <c r="G48" s="18">
        <f>Reference!E46</f>
        <v>46.526800000000001</v>
      </c>
      <c r="H48" s="18">
        <f>Reference!F46</f>
        <v>16502.687999999998</v>
      </c>
      <c r="I48" s="18">
        <f>Reference!G46</f>
        <v>5.5060000000000002</v>
      </c>
      <c r="J48" s="19">
        <f t="shared" ref="J48:J70" si="11">H48/3600</f>
        <v>4.5840799999999993</v>
      </c>
      <c r="L48" s="17">
        <f>Test!B46</f>
        <v>11477.0304</v>
      </c>
      <c r="M48" s="18">
        <f>Test!C46</f>
        <v>42.388599999999997</v>
      </c>
      <c r="N48" s="18">
        <f>Test!D46</f>
        <v>47.243299999999998</v>
      </c>
      <c r="O48" s="18">
        <f>Test!E46</f>
        <v>46.553600000000003</v>
      </c>
      <c r="P48" s="18">
        <f>Test!F46</f>
        <v>17083.561000000002</v>
      </c>
      <c r="Q48" s="18">
        <f>Test!G46</f>
        <v>5.9690000000000003</v>
      </c>
      <c r="R48" s="18">
        <f t="shared" ref="R48:R70" si="12">P48/3600</f>
        <v>4.7454336111111113</v>
      </c>
      <c r="S48" s="17">
        <f t="shared" ref="S48:S70" si="13">P48/H48</f>
        <v>1.0351986900558263</v>
      </c>
      <c r="T48" s="18">
        <f t="shared" ref="T48:T70" si="14">Q48/I48</f>
        <v>1.0840900835452234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7450.1247999999996</v>
      </c>
      <c r="E49" s="18">
        <f>Reference!C47</f>
        <v>39.9724</v>
      </c>
      <c r="F49" s="18">
        <f>Reference!D47</f>
        <v>46.021299999999997</v>
      </c>
      <c r="G49" s="18">
        <f>Reference!E47</f>
        <v>44.681800000000003</v>
      </c>
      <c r="H49" s="18">
        <f>Reference!F47</f>
        <v>12053.499</v>
      </c>
      <c r="I49" s="18">
        <f>Reference!G47</f>
        <v>5.1369999999999996</v>
      </c>
      <c r="J49" s="19">
        <f t="shared" si="11"/>
        <v>3.3481941666666666</v>
      </c>
      <c r="L49" s="17">
        <f>Test!B47</f>
        <v>7456.7615999999998</v>
      </c>
      <c r="M49" s="18">
        <f>Test!C47</f>
        <v>40.000700000000002</v>
      </c>
      <c r="N49" s="18">
        <f>Test!D47</f>
        <v>46.034199999999998</v>
      </c>
      <c r="O49" s="18">
        <f>Test!E47</f>
        <v>44.6965</v>
      </c>
      <c r="P49" s="18">
        <f>Test!F47</f>
        <v>12425.424999999999</v>
      </c>
      <c r="Q49" s="18">
        <f>Test!G47</f>
        <v>5.3449999999999998</v>
      </c>
      <c r="R49" s="18">
        <f t="shared" si="12"/>
        <v>3.4515069444444442</v>
      </c>
      <c r="S49" s="17">
        <f t="shared" si="13"/>
        <v>1.030856268374851</v>
      </c>
      <c r="T49" s="18">
        <f t="shared" si="14"/>
        <v>1.0404905586918436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4334.9440000000004</v>
      </c>
      <c r="E50" s="23">
        <f>Reference!C48</f>
        <v>36.746699999999997</v>
      </c>
      <c r="F50" s="23">
        <f>Reference!D48</f>
        <v>44.255899999999997</v>
      </c>
      <c r="G50" s="23">
        <f>Reference!E48</f>
        <v>42.363999999999997</v>
      </c>
      <c r="H50" s="23">
        <f>Reference!F48</f>
        <v>8044.6970000000001</v>
      </c>
      <c r="I50" s="23">
        <f>Reference!G48</f>
        <v>4.4180000000000001</v>
      </c>
      <c r="J50" s="24">
        <f t="shared" si="11"/>
        <v>2.2346380555555556</v>
      </c>
      <c r="L50" s="22">
        <f>Test!B48</f>
        <v>4335.0528000000004</v>
      </c>
      <c r="M50" s="23">
        <f>Test!C48</f>
        <v>36.780200000000001</v>
      </c>
      <c r="N50" s="23">
        <f>Test!D48</f>
        <v>44.255899999999997</v>
      </c>
      <c r="O50" s="23">
        <f>Test!E48</f>
        <v>42.348700000000001</v>
      </c>
      <c r="P50" s="23">
        <f>Test!F48</f>
        <v>8360.5990000000002</v>
      </c>
      <c r="Q50" s="23">
        <f>Test!G48</f>
        <v>4.7290000000000001</v>
      </c>
      <c r="R50" s="23">
        <f t="shared" si="12"/>
        <v>2.3223886111111112</v>
      </c>
      <c r="S50" s="22">
        <f t="shared" si="13"/>
        <v>1.039268352804338</v>
      </c>
      <c r="T50" s="23">
        <f t="shared" si="14"/>
        <v>1.0703938433680398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25.896514246590662</v>
      </c>
      <c r="J75" s="15">
        <f>GEOMEAN(J3:J18)</f>
        <v>17.392979279074481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9">AVERAGE(W3:W18)</f>
        <v>#VALUE!</v>
      </c>
      <c r="X75" s="42" t="e">
        <f t="shared" si="19"/>
        <v>#VALUE!</v>
      </c>
      <c r="Y75" s="37" t="e">
        <f>AVERAGE(Y3:Y18)</f>
        <v>#VALUE!</v>
      </c>
      <c r="Z75" s="42" t="e">
        <f t="shared" si="19"/>
        <v>#VALUE!</v>
      </c>
      <c r="AA75" s="43" t="e">
        <f t="shared" si="19"/>
        <v>#VALUE!</v>
      </c>
    </row>
    <row r="76" spans="1:27" x14ac:dyDescent="0.2">
      <c r="B76" s="89" t="s">
        <v>47</v>
      </c>
      <c r="I76" s="15">
        <f>GEOMEAN(I19:I34)</f>
        <v>12.634227756379385</v>
      </c>
      <c r="J76" s="15">
        <f>GEOMEAN(J19:J34)</f>
        <v>10.024739745678914</v>
      </c>
      <c r="Q76" s="15">
        <f>GEOMEAN(Q19:Q34)</f>
        <v>13.332652022135456</v>
      </c>
      <c r="R76" s="15">
        <f>GEOMEAN(R19:R34)</f>
        <v>10.391717044558689</v>
      </c>
      <c r="S76" s="15">
        <f>GEOMEAN(S19:S34)</f>
        <v>1.0366071646935231</v>
      </c>
      <c r="T76" s="15">
        <f>GEOMEAN(T19:T34)</f>
        <v>1.0552803288988848</v>
      </c>
      <c r="V76" s="40">
        <f>AVERAGE(V19:V34)</f>
        <v>-2.5591620540784954E-3</v>
      </c>
      <c r="W76" s="44">
        <f t="shared" ref="W76:AA76" si="20">AVERAGE(W19:W34)</f>
        <v>-1.8579086974976344E-3</v>
      </c>
      <c r="X76" s="44">
        <f t="shared" si="20"/>
        <v>-4.7233485411627696E-3</v>
      </c>
      <c r="Y76" s="40">
        <f t="shared" si="20"/>
        <v>-2.537058094872674E-3</v>
      </c>
      <c r="Z76" s="44">
        <f t="shared" si="20"/>
        <v>-1.8750975907903533E-3</v>
      </c>
      <c r="AA76" s="45">
        <f t="shared" si="20"/>
        <v>-4.6882539512585752E-3</v>
      </c>
    </row>
    <row r="77" spans="1:27" x14ac:dyDescent="0.2">
      <c r="B77" s="89" t="s">
        <v>51</v>
      </c>
      <c r="I77" s="15">
        <f>GEOMEAN(I35:I50)</f>
        <v>5.9486860830655353</v>
      </c>
      <c r="J77" s="15">
        <f>GEOMEAN(J35:J50)</f>
        <v>4.739000031236019</v>
      </c>
      <c r="Q77" s="15">
        <f>GEOMEAN(Q35:Q50)</f>
        <v>6.2827613008740197</v>
      </c>
      <c r="R77" s="15">
        <f>GEOMEAN(R35:R50)</f>
        <v>4.9159295371735023</v>
      </c>
      <c r="S77" s="15">
        <f>GEOMEAN(S35:S50)</f>
        <v>1.0373347762758585</v>
      </c>
      <c r="T77" s="15">
        <f>GEOMEAN(T35:T50)</f>
        <v>1.0561594969281562</v>
      </c>
      <c r="V77" s="40">
        <f>AVERAGE(V35:V50)</f>
        <v>-2.8039118450364497E-3</v>
      </c>
      <c r="W77" s="44">
        <f t="shared" ref="W77:AA77" si="21">AVERAGE(W35:W50)</f>
        <v>-4.3367267442471769E-3</v>
      </c>
      <c r="X77" s="44">
        <f t="shared" si="21"/>
        <v>-1.093702784683237E-3</v>
      </c>
      <c r="Y77" s="40">
        <f t="shared" si="21"/>
        <v>-2.7533833500591742E-3</v>
      </c>
      <c r="Z77" s="44">
        <f t="shared" si="21"/>
        <v>-4.5926004696134615E-3</v>
      </c>
      <c r="AA77" s="45">
        <f t="shared" si="21"/>
        <v>-1.0420896169033578E-3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12.48543528357742</v>
      </c>
      <c r="J80" s="54">
        <f xml:space="preserve"> GEOMEAN(J3:J50)</f>
        <v>9.3837824905856202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 xml:space="preserve"> 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5">AVERAGE(W3:W50)</f>
        <v>#VALUE!</v>
      </c>
      <c r="X80" s="47" t="e">
        <f t="shared" si="25"/>
        <v>#VALUE!</v>
      </c>
      <c r="Y80" s="46" t="e">
        <f t="shared" si="25"/>
        <v>#VALUE!</v>
      </c>
      <c r="Z80" s="46" t="e">
        <f t="shared" si="25"/>
        <v>#VALUE!</v>
      </c>
      <c r="AA80" s="47" t="e">
        <f t="shared" si="25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14727.724</v>
      </c>
      <c r="E3" s="13">
        <f>Reference!C73</f>
        <v>40.078099999999999</v>
      </c>
      <c r="F3" s="13">
        <f>Reference!D73</f>
        <v>48.927999999999997</v>
      </c>
      <c r="G3" s="13">
        <f>Reference!E73</f>
        <v>46.9238</v>
      </c>
      <c r="H3" s="13">
        <f>Reference!F73</f>
        <v>335175.43</v>
      </c>
      <c r="I3" s="13">
        <f>Reference!G73</f>
        <v>65.512</v>
      </c>
      <c r="J3" s="14">
        <f>H3/3600</f>
        <v>93.104286111111108</v>
      </c>
      <c r="L3" s="12">
        <f>Test!B73</f>
        <v>0</v>
      </c>
      <c r="M3" s="13">
        <f>Test!C73</f>
        <v>0</v>
      </c>
      <c r="N3" s="13">
        <f>Test!D73</f>
        <v>0</v>
      </c>
      <c r="O3" s="13">
        <f>Test!E73</f>
        <v>0</v>
      </c>
      <c r="P3" s="13">
        <f>Test!F73</f>
        <v>0</v>
      </c>
      <c r="Q3" s="13">
        <f>Test!G73</f>
        <v>0</v>
      </c>
      <c r="R3" s="14">
        <f>P3/3600</f>
        <v>0</v>
      </c>
      <c r="S3" s="12">
        <f>P3/H3</f>
        <v>0</v>
      </c>
      <c r="T3" s="13">
        <f>Q3/I3</f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6825.6639999999998</v>
      </c>
      <c r="E4" s="18">
        <f>Reference!C74</f>
        <v>39.576500000000003</v>
      </c>
      <c r="F4" s="18">
        <f>Reference!D74</f>
        <v>48.336199999999998</v>
      </c>
      <c r="G4" s="18">
        <f>Reference!E74</f>
        <v>46.046999999999997</v>
      </c>
      <c r="H4" s="18">
        <f>Reference!F74</f>
        <v>184844.09899999999</v>
      </c>
      <c r="I4" s="18">
        <f>Reference!G74</f>
        <v>59.664000000000001</v>
      </c>
      <c r="J4" s="19">
        <f t="shared" ref="J4:J14" si="0">H4/3600</f>
        <v>51.345583055555551</v>
      </c>
      <c r="L4" s="17">
        <f>Test!B74</f>
        <v>6811.884</v>
      </c>
      <c r="M4" s="18">
        <f>Test!C74</f>
        <v>39.578000000000003</v>
      </c>
      <c r="N4" s="18">
        <f>Test!D74</f>
        <v>48.333599999999997</v>
      </c>
      <c r="O4" s="18">
        <f>Test!E74</f>
        <v>46.0518</v>
      </c>
      <c r="P4" s="18">
        <f>Test!F74</f>
        <v>184296.87100000001</v>
      </c>
      <c r="Q4" s="18">
        <f>Test!G74</f>
        <v>61.652000000000001</v>
      </c>
      <c r="R4" s="19">
        <f t="shared" ref="R4:R14" si="1">P4/3600</f>
        <v>51.193575277777782</v>
      </c>
      <c r="S4" s="17">
        <f t="shared" ref="S4:T46" si="2">P4/H4</f>
        <v>0.99703951598692919</v>
      </c>
      <c r="T4" s="18">
        <f t="shared" si="2"/>
        <v>1.0333199249128453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3688.6959999999999</v>
      </c>
      <c r="E5" s="18">
        <f>Reference!C75</f>
        <v>38.720799999999997</v>
      </c>
      <c r="F5" s="18">
        <f>Reference!D75</f>
        <v>47.317599999999999</v>
      </c>
      <c r="G5" s="18">
        <f>Reference!E75</f>
        <v>44.735399999999998</v>
      </c>
      <c r="H5" s="18">
        <f>Reference!F75</f>
        <v>92866.52</v>
      </c>
      <c r="I5" s="18">
        <f>Reference!G75</f>
        <v>54.164000000000001</v>
      </c>
      <c r="J5" s="19">
        <f t="shared" si="0"/>
        <v>25.796255555555557</v>
      </c>
      <c r="L5" s="17">
        <f>Test!B75</f>
        <v>3679.3679999999999</v>
      </c>
      <c r="M5" s="18">
        <f>Test!C75</f>
        <v>38.723300000000002</v>
      </c>
      <c r="N5" s="18">
        <f>Test!D75</f>
        <v>47.3568</v>
      </c>
      <c r="O5" s="18">
        <f>Test!E75</f>
        <v>44.733600000000003</v>
      </c>
      <c r="P5" s="18">
        <f>Test!F75</f>
        <v>92934.978000000003</v>
      </c>
      <c r="Q5" s="18">
        <f>Test!G75</f>
        <v>57.006</v>
      </c>
      <c r="R5" s="19">
        <f t="shared" si="1"/>
        <v>25.815271666666668</v>
      </c>
      <c r="S5" s="17">
        <f t="shared" si="2"/>
        <v>1.0007371655576196</v>
      </c>
      <c r="T5" s="18">
        <f t="shared" si="2"/>
        <v>1.0524702754597148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1944.4680000000001</v>
      </c>
      <c r="E6" s="23">
        <f>Reference!C76</f>
        <v>37.2072</v>
      </c>
      <c r="F6" s="23">
        <f>Reference!D76</f>
        <v>46.0914</v>
      </c>
      <c r="G6" s="23">
        <f>Reference!E76</f>
        <v>43.0809</v>
      </c>
      <c r="H6" s="23">
        <f>Reference!F76</f>
        <v>45971.258999999998</v>
      </c>
      <c r="I6" s="23">
        <f>Reference!G76</f>
        <v>48.969000000000001</v>
      </c>
      <c r="J6" s="24">
        <f t="shared" si="0"/>
        <v>12.769794166666665</v>
      </c>
      <c r="L6" s="22">
        <f>Test!B76</f>
        <v>1944.36</v>
      </c>
      <c r="M6" s="23">
        <f>Test!C76</f>
        <v>37.212400000000002</v>
      </c>
      <c r="N6" s="23">
        <f>Test!D76</f>
        <v>46.081699999999998</v>
      </c>
      <c r="O6" s="23">
        <f>Test!E76</f>
        <v>43.076700000000002</v>
      </c>
      <c r="P6" s="23">
        <f>Test!F76</f>
        <v>46574.275999999998</v>
      </c>
      <c r="Q6" s="23">
        <f>Test!G76</f>
        <v>52.923999999999999</v>
      </c>
      <c r="R6" s="24">
        <f t="shared" si="1"/>
        <v>12.937298888888888</v>
      </c>
      <c r="S6" s="17">
        <f t="shared" si="2"/>
        <v>1.0131172609390575</v>
      </c>
      <c r="T6" s="18">
        <f t="shared" si="2"/>
        <v>1.0807653821805632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77891.34</v>
      </c>
      <c r="E7" s="13">
        <f>Reference!C77</f>
        <v>41.582999999999998</v>
      </c>
      <c r="F7" s="13">
        <f>Reference!D77</f>
        <v>36.273000000000003</v>
      </c>
      <c r="G7" s="13">
        <f>Reference!E77</f>
        <v>37.376100000000001</v>
      </c>
      <c r="H7" s="13">
        <f>Reference!F77</f>
        <v>613268.37300000002</v>
      </c>
      <c r="I7" s="13">
        <f>Reference!G77</f>
        <v>68.105999999999995</v>
      </c>
      <c r="J7" s="14">
        <f t="shared" si="0"/>
        <v>170.35232583333334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>
        <f t="shared" si="2"/>
        <v>0</v>
      </c>
      <c r="T7" s="18">
        <f t="shared" si="2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40362.016000000003</v>
      </c>
      <c r="E8" s="18">
        <f>Reference!C78</f>
        <v>38.9848</v>
      </c>
      <c r="F8" s="18">
        <f>Reference!D78</f>
        <v>34.332799999999999</v>
      </c>
      <c r="G8" s="18">
        <f>Reference!E78</f>
        <v>35.656700000000001</v>
      </c>
      <c r="H8" s="18">
        <f>Reference!F78</f>
        <v>407074.37300000002</v>
      </c>
      <c r="I8" s="18">
        <f>Reference!G78</f>
        <v>61.201000000000001</v>
      </c>
      <c r="J8" s="19">
        <f t="shared" si="0"/>
        <v>113.07621472222223</v>
      </c>
      <c r="L8" s="17">
        <f>Test!B78</f>
        <v>0</v>
      </c>
      <c r="M8" s="18">
        <f>Test!C78</f>
        <v>0</v>
      </c>
      <c r="N8" s="18">
        <f>Test!D78</f>
        <v>0</v>
      </c>
      <c r="O8" s="18">
        <f>Test!E78</f>
        <v>0</v>
      </c>
      <c r="P8" s="18">
        <f>Test!F78</f>
        <v>0</v>
      </c>
      <c r="Q8" s="18">
        <f>Test!G78</f>
        <v>0</v>
      </c>
      <c r="R8" s="19">
        <f t="shared" si="1"/>
        <v>0</v>
      </c>
      <c r="S8" s="17">
        <f t="shared" si="2"/>
        <v>0</v>
      </c>
      <c r="T8" s="18">
        <f t="shared" si="2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19040.596000000001</v>
      </c>
      <c r="E9" s="18">
        <f>Reference!C79</f>
        <v>36.080300000000001</v>
      </c>
      <c r="F9" s="18">
        <f>Reference!D79</f>
        <v>32.598199999999999</v>
      </c>
      <c r="G9" s="18">
        <f>Reference!E79</f>
        <v>34.1205</v>
      </c>
      <c r="H9" s="18">
        <f>Reference!F79</f>
        <v>249766.23300000001</v>
      </c>
      <c r="I9" s="18">
        <f>Reference!G79</f>
        <v>55.241</v>
      </c>
      <c r="J9" s="19">
        <f t="shared" si="0"/>
        <v>69.379509166666665</v>
      </c>
      <c r="L9" s="17">
        <f>Test!B79</f>
        <v>18976.916000000001</v>
      </c>
      <c r="M9" s="18">
        <f>Test!C79</f>
        <v>36.1008</v>
      </c>
      <c r="N9" s="18">
        <f>Test!D79</f>
        <v>32.6098</v>
      </c>
      <c r="O9" s="18">
        <f>Test!E79</f>
        <v>34.111899999999999</v>
      </c>
      <c r="P9" s="18">
        <f>Test!F79</f>
        <v>256304.38</v>
      </c>
      <c r="Q9" s="18">
        <f>Test!G79</f>
        <v>60.972999999999999</v>
      </c>
      <c r="R9" s="19">
        <f t="shared" si="1"/>
        <v>71.195661111111107</v>
      </c>
      <c r="S9" s="17">
        <f t="shared" si="2"/>
        <v>1.0261770653361297</v>
      </c>
      <c r="T9" s="18">
        <f t="shared" si="2"/>
        <v>1.1037635089878894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7843.6120000000001</v>
      </c>
      <c r="E10" s="23">
        <f>Reference!C80</f>
        <v>33.0124</v>
      </c>
      <c r="F10" s="23">
        <f>Reference!D80</f>
        <v>30.9894</v>
      </c>
      <c r="G10" s="23">
        <f>Reference!E80</f>
        <v>32.7179</v>
      </c>
      <c r="H10" s="23">
        <f>Reference!F80</f>
        <v>143309.405</v>
      </c>
      <c r="I10" s="23">
        <f>Reference!G80</f>
        <v>51.564999999999998</v>
      </c>
      <c r="J10" s="24">
        <f t="shared" si="0"/>
        <v>39.808168055555555</v>
      </c>
      <c r="L10" s="22">
        <f>Test!B80</f>
        <v>7830.0280000000002</v>
      </c>
      <c r="M10" s="23">
        <f>Test!C80</f>
        <v>33.030299999999997</v>
      </c>
      <c r="N10" s="23">
        <f>Test!D80</f>
        <v>31.006799999999998</v>
      </c>
      <c r="O10" s="23">
        <f>Test!E80</f>
        <v>32.727499999999999</v>
      </c>
      <c r="P10" s="23">
        <f>Test!F80</f>
        <v>144339.6</v>
      </c>
      <c r="Q10" s="23">
        <f>Test!G80</f>
        <v>55.158000000000001</v>
      </c>
      <c r="R10" s="24">
        <f t="shared" si="1"/>
        <v>40.094333333333338</v>
      </c>
      <c r="S10" s="17">
        <f t="shared" si="2"/>
        <v>1.0071886070561804</v>
      </c>
      <c r="T10" s="18">
        <f t="shared" si="2"/>
        <v>1.069679045864443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39125.760000000002</v>
      </c>
      <c r="E11" s="13">
        <f>Reference!C81</f>
        <v>38.3093</v>
      </c>
      <c r="F11" s="13">
        <f>Reference!D81</f>
        <v>40.317599999999999</v>
      </c>
      <c r="G11" s="13">
        <f>Reference!E81</f>
        <v>41.310299999999998</v>
      </c>
      <c r="H11" s="13">
        <f>Reference!F81</f>
        <v>360923.71</v>
      </c>
      <c r="I11" s="13">
        <f>Reference!G81</f>
        <v>38.781999999999996</v>
      </c>
      <c r="J11" s="14">
        <f t="shared" si="0"/>
        <v>100.25658611111112</v>
      </c>
      <c r="L11" s="12">
        <f>Test!B81</f>
        <v>0</v>
      </c>
      <c r="M11" s="13">
        <f>Test!C81</f>
        <v>0</v>
      </c>
      <c r="N11" s="13">
        <f>Test!D81</f>
        <v>0</v>
      </c>
      <c r="O11" s="13">
        <f>Test!E81</f>
        <v>0</v>
      </c>
      <c r="P11" s="13">
        <f>Test!F81</f>
        <v>0</v>
      </c>
      <c r="Q11" s="13">
        <f>Test!G81</f>
        <v>0</v>
      </c>
      <c r="R11" s="14">
        <f t="shared" si="1"/>
        <v>0</v>
      </c>
      <c r="S11" s="17">
        <f t="shared" si="2"/>
        <v>0</v>
      </c>
      <c r="T11" s="18">
        <f t="shared" si="2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Reference!B82</f>
        <v>18994.612000000001</v>
      </c>
      <c r="E12" s="18">
        <f>Reference!C82</f>
        <v>37.183100000000003</v>
      </c>
      <c r="F12" s="18">
        <f>Reference!D82</f>
        <v>37.830300000000001</v>
      </c>
      <c r="G12" s="18">
        <f>Reference!E82</f>
        <v>40.010300000000001</v>
      </c>
      <c r="H12" s="18">
        <f>Reference!F82</f>
        <v>210155.49900000001</v>
      </c>
      <c r="I12" s="18">
        <f>Reference!G82</f>
        <v>33.470999999999997</v>
      </c>
      <c r="J12" s="19">
        <f t="shared" si="0"/>
        <v>58.376527500000002</v>
      </c>
      <c r="L12" s="17">
        <f>Test!B82</f>
        <v>18970.608</v>
      </c>
      <c r="M12" s="18">
        <f>Test!C82</f>
        <v>37.185200000000002</v>
      </c>
      <c r="N12" s="18">
        <f>Test!D82</f>
        <v>37.828400000000002</v>
      </c>
      <c r="O12" s="18">
        <f>Test!E82</f>
        <v>40.016599999999997</v>
      </c>
      <c r="P12" s="18">
        <f>Test!F82</f>
        <v>216249.81599999999</v>
      </c>
      <c r="Q12" s="18">
        <f>Test!G82</f>
        <v>35.694000000000003</v>
      </c>
      <c r="R12" s="19">
        <f t="shared" si="1"/>
        <v>60.069393333333331</v>
      </c>
      <c r="S12" s="17">
        <f t="shared" si="2"/>
        <v>1.0289990841495895</v>
      </c>
      <c r="T12" s="18">
        <f t="shared" si="2"/>
        <v>1.0664157031460071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9389.5159999999996</v>
      </c>
      <c r="E13" s="18">
        <f>Reference!C83</f>
        <v>35.799500000000002</v>
      </c>
      <c r="F13" s="18">
        <f>Reference!D83</f>
        <v>35.642600000000002</v>
      </c>
      <c r="G13" s="18">
        <f>Reference!E83</f>
        <v>38.692599999999999</v>
      </c>
      <c r="H13" s="18">
        <f>Reference!F83</f>
        <v>126083.476</v>
      </c>
      <c r="I13" s="18">
        <f>Reference!G83</f>
        <v>29.574000000000002</v>
      </c>
      <c r="J13" s="19">
        <f t="shared" si="0"/>
        <v>35.023187777777778</v>
      </c>
      <c r="L13" s="17">
        <f>Test!B83</f>
        <v>9389.8960000000006</v>
      </c>
      <c r="M13" s="18">
        <f>Test!C83</f>
        <v>35.803100000000001</v>
      </c>
      <c r="N13" s="18">
        <f>Test!D83</f>
        <v>35.651000000000003</v>
      </c>
      <c r="O13" s="18">
        <f>Test!E83</f>
        <v>38.702500000000001</v>
      </c>
      <c r="P13" s="18">
        <f>Test!F83</f>
        <v>129823.318</v>
      </c>
      <c r="Q13" s="18">
        <f>Test!G83</f>
        <v>32.356000000000002</v>
      </c>
      <c r="R13" s="19">
        <f t="shared" si="1"/>
        <v>36.06203277777778</v>
      </c>
      <c r="S13" s="17">
        <f t="shared" si="2"/>
        <v>1.0296616346459231</v>
      </c>
      <c r="T13" s="18">
        <f t="shared" si="2"/>
        <v>1.0940691147629675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4755.6400000000003</v>
      </c>
      <c r="E14" s="23">
        <f>Reference!C84</f>
        <v>33.9602</v>
      </c>
      <c r="F14" s="23">
        <f>Reference!D84</f>
        <v>33.770899999999997</v>
      </c>
      <c r="G14" s="23">
        <f>Reference!E84</f>
        <v>37.251100000000001</v>
      </c>
      <c r="H14" s="23">
        <f>Reference!F84</f>
        <v>73919.78</v>
      </c>
      <c r="I14" s="23">
        <f>Reference!G84</f>
        <v>26.838999999999999</v>
      </c>
      <c r="J14" s="24">
        <f t="shared" si="0"/>
        <v>20.533272222222223</v>
      </c>
      <c r="L14" s="22">
        <f>Test!B84</f>
        <v>4754.96</v>
      </c>
      <c r="M14" s="23">
        <f>Test!C84</f>
        <v>33.963999999999999</v>
      </c>
      <c r="N14" s="23">
        <f>Test!D84</f>
        <v>33.779400000000003</v>
      </c>
      <c r="O14" s="23">
        <f>Test!E84</f>
        <v>37.248699999999999</v>
      </c>
      <c r="P14" s="23">
        <f>Test!F84</f>
        <v>75203.266000000003</v>
      </c>
      <c r="Q14" s="23">
        <f>Test!G84</f>
        <v>29.181999999999999</v>
      </c>
      <c r="R14" s="24">
        <f t="shared" si="1"/>
        <v>20.889796111111114</v>
      </c>
      <c r="S14" s="17">
        <f t="shared" si="2"/>
        <v>1.0173632280832006</v>
      </c>
      <c r="T14" s="18">
        <f t="shared" si="2"/>
        <v>1.0872983345132083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25560.964</v>
      </c>
      <c r="E15" s="13">
        <f>Reference!C85</f>
        <v>37.610900000000001</v>
      </c>
      <c r="F15" s="13">
        <f>Reference!D85</f>
        <v>45.1447</v>
      </c>
      <c r="G15" s="13">
        <f>Reference!E85</f>
        <v>42.776499999999999</v>
      </c>
      <c r="H15" s="13">
        <f>Reference!F85</f>
        <v>482959.98800000001</v>
      </c>
      <c r="I15" s="13">
        <f>Reference!G85</f>
        <v>64.12</v>
      </c>
      <c r="J15" s="14">
        <f>H15/3600</f>
        <v>134.15555222222221</v>
      </c>
      <c r="L15" s="12">
        <f>Test!B85</f>
        <v>0</v>
      </c>
      <c r="M15" s="13">
        <f>Test!C85</f>
        <v>0</v>
      </c>
      <c r="N15" s="13">
        <f>Test!D85</f>
        <v>0</v>
      </c>
      <c r="O15" s="13">
        <f>Test!E85</f>
        <v>0</v>
      </c>
      <c r="P15" s="13">
        <f>Test!F85</f>
        <v>0</v>
      </c>
      <c r="Q15" s="13">
        <f>Test!G85</f>
        <v>0</v>
      </c>
      <c r="R15" s="14">
        <f>P15/3600</f>
        <v>0</v>
      </c>
      <c r="S15" s="17">
        <f>P15/H15</f>
        <v>0</v>
      </c>
      <c r="T15" s="18">
        <f>Q15/I15</f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Reference!B86</f>
        <v>9216.5040000000008</v>
      </c>
      <c r="E16" s="18">
        <f>Reference!C86</f>
        <v>37.0458</v>
      </c>
      <c r="F16" s="18">
        <f>Reference!D86</f>
        <v>44.538899999999998</v>
      </c>
      <c r="G16" s="18">
        <f>Reference!E86</f>
        <v>42.0991</v>
      </c>
      <c r="H16" s="18">
        <f>Reference!F86</f>
        <v>254441.70699999999</v>
      </c>
      <c r="I16" s="18">
        <f>Reference!G86</f>
        <v>54.938000000000002</v>
      </c>
      <c r="J16" s="19">
        <f t="shared" ref="J16:J26" si="3">H16/3600</f>
        <v>70.67825194444444</v>
      </c>
      <c r="L16" s="17">
        <f>Test!B86</f>
        <v>0</v>
      </c>
      <c r="M16" s="18">
        <f>Test!C86</f>
        <v>0</v>
      </c>
      <c r="N16" s="18">
        <f>Test!D86</f>
        <v>0</v>
      </c>
      <c r="O16" s="18">
        <f>Test!E86</f>
        <v>0</v>
      </c>
      <c r="P16" s="18">
        <f>Test!F86</f>
        <v>0</v>
      </c>
      <c r="Q16" s="18">
        <f>Test!G86</f>
        <v>0</v>
      </c>
      <c r="R16" s="19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4546.7839999999997</v>
      </c>
      <c r="E17" s="18">
        <f>Reference!C87</f>
        <v>36.182400000000001</v>
      </c>
      <c r="F17" s="18">
        <f>Reference!D87</f>
        <v>43.600099999999998</v>
      </c>
      <c r="G17" s="18">
        <f>Reference!E87</f>
        <v>41.111899999999999</v>
      </c>
      <c r="H17" s="18">
        <f>Reference!F87</f>
        <v>128744.50900000001</v>
      </c>
      <c r="I17" s="18">
        <f>Reference!G87</f>
        <v>46.542999999999999</v>
      </c>
      <c r="J17" s="19">
        <f t="shared" si="3"/>
        <v>35.762363611111113</v>
      </c>
      <c r="L17" s="17">
        <f>Test!B87</f>
        <v>4539.5720000000001</v>
      </c>
      <c r="M17" s="18">
        <f>Test!C87</f>
        <v>36.189500000000002</v>
      </c>
      <c r="N17" s="18">
        <f>Test!D87</f>
        <v>43.600299999999997</v>
      </c>
      <c r="O17" s="18">
        <f>Test!E87</f>
        <v>41.108800000000002</v>
      </c>
      <c r="P17" s="18">
        <f>Test!F87</f>
        <v>132016.96599999999</v>
      </c>
      <c r="Q17" s="18">
        <f>Test!G87</f>
        <v>49.716999999999999</v>
      </c>
      <c r="R17" s="19">
        <f t="shared" si="4"/>
        <v>36.67137944444444</v>
      </c>
      <c r="S17" s="17">
        <f t="shared" si="5"/>
        <v>1.0254182257978861</v>
      </c>
      <c r="T17" s="18">
        <f t="shared" si="6"/>
        <v>1.0681950024708333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2197.5160000000001</v>
      </c>
      <c r="E18" s="23">
        <f>Reference!C88</f>
        <v>34.709499999999998</v>
      </c>
      <c r="F18" s="23">
        <f>Reference!D88</f>
        <v>42.3048</v>
      </c>
      <c r="G18" s="23">
        <f>Reference!E88</f>
        <v>39.847099999999998</v>
      </c>
      <c r="H18" s="23">
        <f>Reference!F88</f>
        <v>64420.175999999999</v>
      </c>
      <c r="I18" s="23">
        <f>Reference!G88</f>
        <v>41.912999999999997</v>
      </c>
      <c r="J18" s="24">
        <f t="shared" si="3"/>
        <v>17.894493333333333</v>
      </c>
      <c r="L18" s="22">
        <f>Test!B88</f>
        <v>2194.1439999999998</v>
      </c>
      <c r="M18" s="23">
        <f>Test!C88</f>
        <v>34.717300000000002</v>
      </c>
      <c r="N18" s="23">
        <f>Test!D88</f>
        <v>42.299599999999998</v>
      </c>
      <c r="O18" s="23">
        <f>Test!E88</f>
        <v>39.847200000000001</v>
      </c>
      <c r="P18" s="23">
        <f>Test!F88</f>
        <v>64407.248</v>
      </c>
      <c r="Q18" s="23">
        <f>Test!G88</f>
        <v>42.106999999999999</v>
      </c>
      <c r="R18" s="24">
        <f t="shared" si="4"/>
        <v>17.890902222222223</v>
      </c>
      <c r="S18" s="17">
        <f t="shared" si="5"/>
        <v>0.99979931753058238</v>
      </c>
      <c r="T18" s="18">
        <f t="shared" si="6"/>
        <v>1.0046286355068834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10049.459999999999</v>
      </c>
      <c r="E19" s="13">
        <f>Reference!C89</f>
        <v>37.982100000000003</v>
      </c>
      <c r="F19" s="13">
        <f>Reference!D89</f>
        <v>39.7196</v>
      </c>
      <c r="G19" s="13">
        <f>Reference!E89</f>
        <v>43.086100000000002</v>
      </c>
      <c r="H19" s="13">
        <f>Reference!F89</f>
        <v>109766.902</v>
      </c>
      <c r="I19" s="13">
        <f>Reference!G89</f>
        <v>13.425000000000001</v>
      </c>
      <c r="J19" s="14">
        <f t="shared" si="3"/>
        <v>30.490806111111112</v>
      </c>
      <c r="L19" s="12">
        <f>Test!B89</f>
        <v>10037.796</v>
      </c>
      <c r="M19" s="13">
        <f>Test!C89</f>
        <v>37.988900000000001</v>
      </c>
      <c r="N19" s="13">
        <f>Test!D89</f>
        <v>39.727200000000003</v>
      </c>
      <c r="O19" s="13">
        <f>Test!E89</f>
        <v>43.086799999999997</v>
      </c>
      <c r="P19" s="13">
        <f>Test!F89</f>
        <v>111402.114</v>
      </c>
      <c r="Q19" s="13">
        <f>Test!G89</f>
        <v>14.115</v>
      </c>
      <c r="R19" s="14">
        <f t="shared" si="4"/>
        <v>30.945031666666669</v>
      </c>
      <c r="S19" s="12">
        <f t="shared" si="5"/>
        <v>1.0148971317419526</v>
      </c>
      <c r="T19" s="13">
        <f t="shared" si="6"/>
        <v>1.0513966480446928</v>
      </c>
      <c r="U19" s="90"/>
      <c r="V19" s="37">
        <f>bdrate($D19:$D22,E19:E22,$L19:$L22,M19:M22)</f>
        <v>-3.5112463186024456E-3</v>
      </c>
      <c r="W19" s="42">
        <f>bdrate($D19:$D22,F19:F22,$L19:$L22,N19:N22)</f>
        <v>-3.5614107496668712E-3</v>
      </c>
      <c r="X19" s="42">
        <f>bdrate($D19:$D22,G19:G22,$L19:$L22,O19:O22)</f>
        <v>-4.1351916597746063E-3</v>
      </c>
      <c r="Y19" s="40">
        <f>bdrateOld($D19:$D22,E19:E22,$L19:$L22,M19:M22)</f>
        <v>-3.3477282178385748E-3</v>
      </c>
      <c r="Z19" s="44">
        <f>bdrateOld($D19:$D22,F19:F22,$L19:$L22,N19:N22)</f>
        <v>-3.5331656521779831E-3</v>
      </c>
      <c r="AA19" s="45">
        <f>bdrateOld($D19:$D22,G19:G22,$L19:$L22,O19:O22)</f>
        <v>-3.998567922058327E-3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4716.0119999999997</v>
      </c>
      <c r="E20" s="18">
        <f>Reference!C90</f>
        <v>36.882899999999999</v>
      </c>
      <c r="F20" s="18">
        <f>Reference!D90</f>
        <v>39.188499999999998</v>
      </c>
      <c r="G20" s="18">
        <f>Reference!E90</f>
        <v>41.976900000000001</v>
      </c>
      <c r="H20" s="18">
        <f>Reference!F90</f>
        <v>64217.017999999996</v>
      </c>
      <c r="I20" s="18">
        <f>Reference!G90</f>
        <v>11.602</v>
      </c>
      <c r="J20" s="19">
        <f t="shared" si="3"/>
        <v>17.838060555555554</v>
      </c>
      <c r="L20" s="17">
        <f>Test!B90</f>
        <v>4712.8999999999996</v>
      </c>
      <c r="M20" s="18">
        <f>Test!C90</f>
        <v>36.890900000000002</v>
      </c>
      <c r="N20" s="18">
        <f>Test!D90</f>
        <v>39.1935</v>
      </c>
      <c r="O20" s="18">
        <f>Test!E90</f>
        <v>41.983800000000002</v>
      </c>
      <c r="P20" s="18">
        <f>Test!F90</f>
        <v>65046.853000000003</v>
      </c>
      <c r="Q20" s="18">
        <f>Test!G90</f>
        <v>11.175000000000001</v>
      </c>
      <c r="R20" s="19">
        <f t="shared" si="4"/>
        <v>18.068570277777777</v>
      </c>
      <c r="S20" s="17">
        <f t="shared" si="5"/>
        <v>1.0129223533861382</v>
      </c>
      <c r="T20" s="18">
        <f t="shared" si="6"/>
        <v>0.96319600068953637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2395.3679999999999</v>
      </c>
      <c r="E21" s="18">
        <f>Reference!C91</f>
        <v>35.298000000000002</v>
      </c>
      <c r="F21" s="18">
        <f>Reference!D91</f>
        <v>38.473300000000002</v>
      </c>
      <c r="G21" s="18">
        <f>Reference!E91</f>
        <v>40.611199999999997</v>
      </c>
      <c r="H21" s="18">
        <f>Reference!F91</f>
        <v>37495.017</v>
      </c>
      <c r="I21" s="18">
        <f>Reference!G91</f>
        <v>10.231999999999999</v>
      </c>
      <c r="J21" s="19">
        <f t="shared" si="3"/>
        <v>10.4152825</v>
      </c>
      <c r="L21" s="17">
        <f>Test!B91</f>
        <v>2397.576</v>
      </c>
      <c r="M21" s="18">
        <f>Test!C91</f>
        <v>35.3078</v>
      </c>
      <c r="N21" s="18">
        <f>Test!D91</f>
        <v>38.473599999999998</v>
      </c>
      <c r="O21" s="18">
        <f>Test!E91</f>
        <v>40.623399999999997</v>
      </c>
      <c r="P21" s="18">
        <f>Test!F91</f>
        <v>37324.262000000002</v>
      </c>
      <c r="Q21" s="18">
        <f>Test!G91</f>
        <v>10.146000000000001</v>
      </c>
      <c r="R21" s="19">
        <f t="shared" si="4"/>
        <v>10.367850555555556</v>
      </c>
      <c r="S21" s="17">
        <f t="shared" si="5"/>
        <v>0.99544592818827105</v>
      </c>
      <c r="T21" s="18">
        <f t="shared" si="6"/>
        <v>0.99159499609069601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1118.848</v>
      </c>
      <c r="E22" s="23">
        <f>Reference!C92</f>
        <v>33.0503</v>
      </c>
      <c r="F22" s="23">
        <f>Reference!D92</f>
        <v>37.386899999999997</v>
      </c>
      <c r="G22" s="23">
        <f>Reference!E92</f>
        <v>38.915300000000002</v>
      </c>
      <c r="H22" s="23">
        <f>Reference!F92</f>
        <v>20297.456999999999</v>
      </c>
      <c r="I22" s="23">
        <f>Reference!G92</f>
        <v>9.3390000000000004</v>
      </c>
      <c r="J22" s="24">
        <f t="shared" si="3"/>
        <v>5.6381824999999992</v>
      </c>
      <c r="L22" s="22">
        <f>Test!B92</f>
        <v>1118.94</v>
      </c>
      <c r="M22" s="23">
        <f>Test!C92</f>
        <v>33.0565</v>
      </c>
      <c r="N22" s="23">
        <f>Test!D92</f>
        <v>37.397599999999997</v>
      </c>
      <c r="O22" s="23">
        <f>Test!E92</f>
        <v>38.921999999999997</v>
      </c>
      <c r="P22" s="23">
        <f>Test!F92</f>
        <v>20319.468000000001</v>
      </c>
      <c r="Q22" s="23">
        <f>Test!G92</f>
        <v>9.0779999999999994</v>
      </c>
      <c r="R22" s="24">
        <f t="shared" si="4"/>
        <v>5.6442966666666665</v>
      </c>
      <c r="S22" s="17">
        <f t="shared" si="5"/>
        <v>1.0010844215607897</v>
      </c>
      <c r="T22" s="18">
        <f t="shared" si="6"/>
        <v>0.97205268230003206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8795.8359999999993</v>
      </c>
      <c r="E23" s="13">
        <f>Reference!C93</f>
        <v>38.905099999999997</v>
      </c>
      <c r="F23" s="13">
        <f>Reference!D93</f>
        <v>43.942399999999999</v>
      </c>
      <c r="G23" s="13">
        <f>Reference!E93</f>
        <v>45.045099999999998</v>
      </c>
      <c r="H23" s="13">
        <f>Reference!F93</f>
        <v>112267.54399999999</v>
      </c>
      <c r="I23" s="13">
        <f>Reference!G93</f>
        <v>14.958</v>
      </c>
      <c r="J23" s="14">
        <f t="shared" si="3"/>
        <v>31.185428888888886</v>
      </c>
      <c r="L23" s="12">
        <f>Test!B93</f>
        <v>8791.6239999999998</v>
      </c>
      <c r="M23" s="13">
        <f>Test!C93</f>
        <v>38.920499999999997</v>
      </c>
      <c r="N23" s="13">
        <f>Test!D93</f>
        <v>43.949599999999997</v>
      </c>
      <c r="O23" s="13">
        <f>Test!E93</f>
        <v>45.045699999999997</v>
      </c>
      <c r="P23" s="13">
        <f>Test!F93</f>
        <v>115021.36</v>
      </c>
      <c r="Q23" s="13">
        <f>Test!G93</f>
        <v>15.755000000000001</v>
      </c>
      <c r="R23" s="14">
        <f t="shared" si="4"/>
        <v>31.950377777777778</v>
      </c>
      <c r="S23" s="17">
        <f t="shared" si="5"/>
        <v>1.0245290482171767</v>
      </c>
      <c r="T23" s="18">
        <f t="shared" si="6"/>
        <v>1.0532825244016579</v>
      </c>
      <c r="U23" s="91"/>
      <c r="V23" s="37">
        <f>bdrate($D23:$D26,E23:E26,$L23:$L26,M23:M26)</f>
        <v>-6.8118256196837423E-3</v>
      </c>
      <c r="W23" s="42">
        <f>bdrate($D23:$D26,F23:F26,$L23:$L26,N23:N26)</f>
        <v>-1.5793014499335678E-3</v>
      </c>
      <c r="X23" s="42">
        <f>bdrate($D23:$D26,G23:G26,$L23:$L26,O23:O26)</f>
        <v>8.4193245198149746E-4</v>
      </c>
      <c r="Y23" s="40">
        <f>bdrateOld($D23:$D26,E23:E26,$L23:$L26,M23:M26)</f>
        <v>-7.0001950020466275E-3</v>
      </c>
      <c r="Z23" s="44">
        <f>bdrateOld($D23:$D26,F23:F26,$L23:$L26,N23:N26)</f>
        <v>-1.3561105009924912E-3</v>
      </c>
      <c r="AA23" s="45">
        <f>bdrateOld($D23:$D26,G23:G26,$L23:$L26,O23:O26)</f>
        <v>1.1077104786938463E-3</v>
      </c>
    </row>
    <row r="24" spans="1:27" x14ac:dyDescent="0.2">
      <c r="A24" s="34"/>
      <c r="B24" s="85"/>
      <c r="C24" s="16">
        <v>32</v>
      </c>
      <c r="D24" s="17">
        <f>Reference!B94</f>
        <v>4372.5479999999998</v>
      </c>
      <c r="E24" s="18">
        <f>Reference!C94</f>
        <v>37.8598</v>
      </c>
      <c r="F24" s="18">
        <f>Reference!D94</f>
        <v>43.104599999999998</v>
      </c>
      <c r="G24" s="18">
        <f>Reference!E94</f>
        <v>43.617800000000003</v>
      </c>
      <c r="H24" s="18">
        <f>Reference!F94</f>
        <v>67362.41</v>
      </c>
      <c r="I24" s="18">
        <f>Reference!G94</f>
        <v>13.614000000000001</v>
      </c>
      <c r="J24" s="19">
        <f t="shared" si="3"/>
        <v>18.711780555555556</v>
      </c>
      <c r="L24" s="17">
        <f>Test!B94</f>
        <v>4376.2039999999997</v>
      </c>
      <c r="M24" s="18">
        <f>Test!C94</f>
        <v>37.874299999999998</v>
      </c>
      <c r="N24" s="18">
        <f>Test!D94</f>
        <v>43.113700000000001</v>
      </c>
      <c r="O24" s="18">
        <f>Test!E94</f>
        <v>43.629600000000003</v>
      </c>
      <c r="P24" s="18">
        <f>Test!F94</f>
        <v>68956.406000000003</v>
      </c>
      <c r="Q24" s="18">
        <f>Test!G94</f>
        <v>13.972</v>
      </c>
      <c r="R24" s="19">
        <f t="shared" si="4"/>
        <v>19.154557222222223</v>
      </c>
      <c r="S24" s="17">
        <f t="shared" si="5"/>
        <v>1.0236629894922109</v>
      </c>
      <c r="T24" s="18">
        <f t="shared" si="6"/>
        <v>1.0262964595269575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2229.4119999999998</v>
      </c>
      <c r="E25" s="18">
        <f>Reference!C95</f>
        <v>36.365299999999998</v>
      </c>
      <c r="F25" s="18">
        <f>Reference!D95</f>
        <v>42.003799999999998</v>
      </c>
      <c r="G25" s="18">
        <f>Reference!E95</f>
        <v>41.985700000000001</v>
      </c>
      <c r="H25" s="18">
        <f>Reference!F95</f>
        <v>37832.017</v>
      </c>
      <c r="I25" s="18">
        <f>Reference!G95</f>
        <v>12.148999999999999</v>
      </c>
      <c r="J25" s="19">
        <f t="shared" si="3"/>
        <v>10.508893611111111</v>
      </c>
      <c r="L25" s="17">
        <f>Test!B95</f>
        <v>2227.9679999999998</v>
      </c>
      <c r="M25" s="18">
        <f>Test!C95</f>
        <v>36.380200000000002</v>
      </c>
      <c r="N25" s="18">
        <f>Test!D95</f>
        <v>42.0002</v>
      </c>
      <c r="O25" s="18">
        <f>Test!E95</f>
        <v>41.9679</v>
      </c>
      <c r="P25" s="18">
        <f>Test!F95</f>
        <v>38238.400000000001</v>
      </c>
      <c r="Q25" s="18">
        <f>Test!G95</f>
        <v>12.195</v>
      </c>
      <c r="R25" s="19">
        <f t="shared" si="4"/>
        <v>10.621777777777778</v>
      </c>
      <c r="S25" s="17">
        <f t="shared" si="5"/>
        <v>1.0107417746191012</v>
      </c>
      <c r="T25" s="18">
        <f t="shared" si="6"/>
        <v>1.0037863198617172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1095.6679999999999</v>
      </c>
      <c r="E26" s="23">
        <f>Reference!C96</f>
        <v>34.297600000000003</v>
      </c>
      <c r="F26" s="23">
        <f>Reference!D96</f>
        <v>40.647199999999998</v>
      </c>
      <c r="G26" s="23">
        <f>Reference!E96</f>
        <v>40.146999999999998</v>
      </c>
      <c r="H26" s="23">
        <f>Reference!F96</f>
        <v>20524.061000000002</v>
      </c>
      <c r="I26" s="23">
        <f>Reference!G96</f>
        <v>9.7210000000000001</v>
      </c>
      <c r="J26" s="24">
        <f t="shared" si="3"/>
        <v>5.7011280555555564</v>
      </c>
      <c r="L26" s="22">
        <f>Test!B96</f>
        <v>1094.7919999999999</v>
      </c>
      <c r="M26" s="23">
        <f>Test!C96</f>
        <v>34.309899999999999</v>
      </c>
      <c r="N26" s="23">
        <f>Test!D96</f>
        <v>40.643300000000004</v>
      </c>
      <c r="O26" s="23">
        <f>Test!E96</f>
        <v>40.149299999999997</v>
      </c>
      <c r="P26" s="23">
        <f>Test!F96</f>
        <v>20670.499</v>
      </c>
      <c r="Q26" s="23">
        <f>Test!G96</f>
        <v>9.9250000000000007</v>
      </c>
      <c r="R26" s="24">
        <f t="shared" si="4"/>
        <v>5.7418052777777779</v>
      </c>
      <c r="S26" s="17">
        <f t="shared" si="5"/>
        <v>1.0071349427386713</v>
      </c>
      <c r="T26" s="18">
        <f t="shared" si="6"/>
        <v>1.0209854953194117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6881.7</v>
      </c>
      <c r="E27" s="13">
        <f>Reference!C97</f>
        <v>39.660400000000003</v>
      </c>
      <c r="F27" s="13">
        <f>Reference!D97</f>
        <v>43.660600000000002</v>
      </c>
      <c r="G27" s="13">
        <f>Reference!E97</f>
        <v>44.869</v>
      </c>
      <c r="H27" s="13">
        <f>Reference!F97</f>
        <v>101786.696</v>
      </c>
      <c r="I27" s="13">
        <f>Reference!G97</f>
        <v>15.355</v>
      </c>
      <c r="J27" s="14">
        <f>H27/3600</f>
        <v>28.274082222222223</v>
      </c>
      <c r="L27" s="12">
        <f>Test!B97</f>
        <v>6870.3879999999999</v>
      </c>
      <c r="M27" s="13">
        <f>Test!C97</f>
        <v>39.6785</v>
      </c>
      <c r="N27" s="13">
        <f>Test!D97</f>
        <v>43.6586</v>
      </c>
      <c r="O27" s="13">
        <f>Test!E97</f>
        <v>44.863</v>
      </c>
      <c r="P27" s="13">
        <f>Test!F97</f>
        <v>103932.46</v>
      </c>
      <c r="Q27" s="13">
        <f>Test!G97</f>
        <v>16.116</v>
      </c>
      <c r="R27" s="14">
        <f>P27/3600</f>
        <v>28.870127777777778</v>
      </c>
      <c r="S27" s="17">
        <f t="shared" si="2"/>
        <v>1.0210809868511697</v>
      </c>
      <c r="T27" s="18">
        <f t="shared" si="2"/>
        <v>1.0495604037772712</v>
      </c>
      <c r="U27" s="91"/>
      <c r="V27" s="37">
        <f>bdrate($D27:$D30,E27:E30,$L27:$L30,M27:M30)</f>
        <v>-6.1206527146612233E-3</v>
      </c>
      <c r="W27" s="42">
        <f>bdrate($D27:$D30,F27:F30,$L27:$L30,N27:N30)</f>
        <v>5.3389670382100185E-3</v>
      </c>
      <c r="X27" s="43">
        <f>bdrate($D27:$D30,G27:G30,$L27:$L30,O27:O30)</f>
        <v>-6.9054090305685767E-3</v>
      </c>
      <c r="Y27" s="37">
        <f>bdrateOld($D27:$D30,E27:E30,$L27:$L30,M27:M30)</f>
        <v>-6.130310199214728E-3</v>
      </c>
      <c r="Z27" s="42">
        <f>bdrateOld($D27:$D30,F27:F30,$L27:$L30,N27:N30)</f>
        <v>5.9625362312734076E-3</v>
      </c>
      <c r="AA27" s="43">
        <f>bdrateOld($D27:$D30,G27:G30,$L27:$L30,O27:O30)</f>
        <v>-5.1214810727793214E-3</v>
      </c>
    </row>
    <row r="28" spans="1:27" x14ac:dyDescent="0.2">
      <c r="A28" s="16"/>
      <c r="B28" s="85"/>
      <c r="C28" s="16">
        <v>48</v>
      </c>
      <c r="D28" s="17">
        <f>Reference!B98</f>
        <v>3234.924</v>
      </c>
      <c r="E28" s="18">
        <f>Reference!C98</f>
        <v>38.463799999999999</v>
      </c>
      <c r="F28" s="18">
        <f>Reference!D98</f>
        <v>42.893599999999999</v>
      </c>
      <c r="G28" s="18">
        <f>Reference!E98</f>
        <v>44.1813</v>
      </c>
      <c r="H28" s="18">
        <f>Reference!F98</f>
        <v>61118.133000000002</v>
      </c>
      <c r="I28" s="18">
        <f>Reference!G98</f>
        <v>13.928000000000001</v>
      </c>
      <c r="J28" s="19">
        <f t="shared" ref="J28:J46" si="7">H28/3600</f>
        <v>16.977259166666666</v>
      </c>
      <c r="L28" s="17">
        <f>Test!B98</f>
        <v>3233.616</v>
      </c>
      <c r="M28" s="18">
        <f>Test!C98</f>
        <v>38.481099999999998</v>
      </c>
      <c r="N28" s="18">
        <f>Test!D98</f>
        <v>42.895800000000001</v>
      </c>
      <c r="O28" s="18">
        <f>Test!E98</f>
        <v>44.204000000000001</v>
      </c>
      <c r="P28" s="18">
        <f>Test!F98</f>
        <v>61773.752999999997</v>
      </c>
      <c r="Q28" s="18">
        <f>Test!G98</f>
        <v>14.157</v>
      </c>
      <c r="R28" s="19">
        <f t="shared" ref="R28:R46" si="8">P28/3600</f>
        <v>17.159375833333332</v>
      </c>
      <c r="S28" s="17">
        <f t="shared" si="2"/>
        <v>1.0107270946905396</v>
      </c>
      <c r="T28" s="18">
        <f t="shared" si="2"/>
        <v>1.0164417001723147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1538.796</v>
      </c>
      <c r="E29" s="18">
        <f>Reference!C99</f>
        <v>36.760100000000001</v>
      </c>
      <c r="F29" s="18">
        <f>Reference!D99</f>
        <v>41.898099999999999</v>
      </c>
      <c r="G29" s="18">
        <f>Reference!E99</f>
        <v>43.176499999999997</v>
      </c>
      <c r="H29" s="18">
        <f>Reference!F99</f>
        <v>32897.004000000001</v>
      </c>
      <c r="I29" s="18">
        <f>Reference!G99</f>
        <v>12.643000000000001</v>
      </c>
      <c r="J29" s="19">
        <f t="shared" si="7"/>
        <v>9.1380566666666674</v>
      </c>
      <c r="L29" s="17">
        <f>Test!B99</f>
        <v>1536.932</v>
      </c>
      <c r="M29" s="18">
        <f>Test!C99</f>
        <v>36.770600000000002</v>
      </c>
      <c r="N29" s="18">
        <f>Test!D99</f>
        <v>41.877400000000002</v>
      </c>
      <c r="O29" s="18">
        <f>Test!E99</f>
        <v>43.168999999999997</v>
      </c>
      <c r="P29" s="18">
        <f>Test!F99</f>
        <v>33076.375</v>
      </c>
      <c r="Q29" s="18">
        <f>Test!G99</f>
        <v>12.551</v>
      </c>
      <c r="R29" s="19">
        <f t="shared" si="8"/>
        <v>9.1878819444444453</v>
      </c>
      <c r="S29" s="17">
        <f t="shared" si="2"/>
        <v>1.0054525026047965</v>
      </c>
      <c r="T29" s="18">
        <f t="shared" si="2"/>
        <v>0.99272324606501616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688.43200000000002</v>
      </c>
      <c r="E30" s="23">
        <f>Reference!C100</f>
        <v>34.535200000000003</v>
      </c>
      <c r="F30" s="23">
        <f>Reference!D100</f>
        <v>40.619599999999998</v>
      </c>
      <c r="G30" s="23">
        <f>Reference!E100</f>
        <v>41.830500000000001</v>
      </c>
      <c r="H30" s="23">
        <f>Reference!F100</f>
        <v>16829.8</v>
      </c>
      <c r="I30" s="23">
        <f>Reference!G100</f>
        <v>10.398</v>
      </c>
      <c r="J30" s="24">
        <f t="shared" si="7"/>
        <v>4.6749444444444439</v>
      </c>
      <c r="L30" s="22">
        <f>Test!B100</f>
        <v>689.88800000000003</v>
      </c>
      <c r="M30" s="23">
        <f>Test!C100</f>
        <v>34.536999999999999</v>
      </c>
      <c r="N30" s="23">
        <f>Test!D100</f>
        <v>40.622199999999999</v>
      </c>
      <c r="O30" s="23">
        <f>Test!E100</f>
        <v>41.871299999999998</v>
      </c>
      <c r="P30" s="23">
        <f>Test!F100</f>
        <v>16774.225999999999</v>
      </c>
      <c r="Q30" s="23">
        <f>Test!G100</f>
        <v>10.129</v>
      </c>
      <c r="R30" s="24">
        <f t="shared" si="8"/>
        <v>4.6595072222222216</v>
      </c>
      <c r="S30" s="17">
        <f t="shared" si="2"/>
        <v>0.99669788113940749</v>
      </c>
      <c r="T30" s="18">
        <f t="shared" si="2"/>
        <v>0.97412964031544524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5760.1279999999997</v>
      </c>
      <c r="E31" s="13">
        <f>Reference!C101</f>
        <v>44.8337</v>
      </c>
      <c r="F31" s="13">
        <f>Reference!D101</f>
        <v>47.1982</v>
      </c>
      <c r="G31" s="13">
        <f>Reference!E101</f>
        <v>48.170200000000001</v>
      </c>
      <c r="H31" s="13">
        <f>Reference!F101</f>
        <v>74762.33</v>
      </c>
      <c r="I31" s="13">
        <f>Reference!G101</f>
        <v>15.618</v>
      </c>
      <c r="J31" s="14">
        <f t="shared" si="7"/>
        <v>20.767313888888889</v>
      </c>
      <c r="L31" s="12">
        <f>Test!B101</f>
        <v>5757.8320000000003</v>
      </c>
      <c r="M31" s="13">
        <f>Test!C101</f>
        <v>44.841299999999997</v>
      </c>
      <c r="N31" s="13">
        <f>Test!D101</f>
        <v>47.213900000000002</v>
      </c>
      <c r="O31" s="13">
        <f>Test!E101</f>
        <v>48.175199999999997</v>
      </c>
      <c r="P31" s="13">
        <f>Test!F101</f>
        <v>76941.203999999998</v>
      </c>
      <c r="Q31" s="13">
        <f>Test!G101</f>
        <v>16.088999999999999</v>
      </c>
      <c r="R31" s="14">
        <f t="shared" si="8"/>
        <v>21.372556666666664</v>
      </c>
      <c r="S31" s="17">
        <f t="shared" si="2"/>
        <v>1.0291440087541412</v>
      </c>
      <c r="T31" s="18">
        <f t="shared" si="2"/>
        <v>1.0301575105647329</v>
      </c>
      <c r="U31" s="91"/>
      <c r="V31" s="37">
        <f>bdrate($D31:$D34,E31:E34,$L31:$L34,M31:M34)</f>
        <v>-1.9948144228787434E-3</v>
      </c>
      <c r="W31" s="42">
        <f>bdrate($D31:$D34,F31:F34,$L31:$L34,N31:N34)</f>
        <v>-9.3681751422680648E-4</v>
      </c>
      <c r="X31" s="42">
        <f>bdrate($D31:$D34,G31:G34,$L31:$L34,O31:O34)</f>
        <v>3.5802906145112612E-3</v>
      </c>
      <c r="Y31" s="40">
        <f>bdrateOld($D31:$D34,E31:E34,$L31:$L34,M31:M34)</f>
        <v>-2.0373979183014868E-3</v>
      </c>
      <c r="Z31" s="44">
        <f>bdrateOld($D31:$D34,F31:F34,$L31:$L34,N31:N34)</f>
        <v>-9.1953254946997021E-4</v>
      </c>
      <c r="AA31" s="45">
        <f>bdrateOld($D31:$D34,G31:G34,$L31:$L34,O31:O34)</f>
        <v>3.6796324119792168E-3</v>
      </c>
    </row>
    <row r="32" spans="1:27" x14ac:dyDescent="0.2">
      <c r="A32" s="16"/>
      <c r="B32" s="85"/>
      <c r="C32" s="16">
        <v>48</v>
      </c>
      <c r="D32" s="17">
        <f>Reference!B102</f>
        <v>3528.9960000000001</v>
      </c>
      <c r="E32" s="18">
        <f>Reference!C102</f>
        <v>42.592500000000001</v>
      </c>
      <c r="F32" s="18">
        <f>Reference!D102</f>
        <v>45.655900000000003</v>
      </c>
      <c r="G32" s="18">
        <f>Reference!E102</f>
        <v>46.431699999999999</v>
      </c>
      <c r="H32" s="18">
        <f>Reference!F102</f>
        <v>52001.964</v>
      </c>
      <c r="I32" s="18">
        <f>Reference!G102</f>
        <v>14.372</v>
      </c>
      <c r="J32" s="19">
        <f t="shared" si="7"/>
        <v>14.444990000000001</v>
      </c>
      <c r="L32" s="17">
        <f>Test!B102</f>
        <v>3526.5239999999999</v>
      </c>
      <c r="M32" s="18">
        <f>Test!C102</f>
        <v>42.598700000000001</v>
      </c>
      <c r="N32" s="18">
        <f>Test!D102</f>
        <v>45.667499999999997</v>
      </c>
      <c r="O32" s="18">
        <f>Test!E102</f>
        <v>46.442500000000003</v>
      </c>
      <c r="P32" s="18">
        <f>Test!F102</f>
        <v>52216.822999999997</v>
      </c>
      <c r="Q32" s="18">
        <f>Test!G102</f>
        <v>14.4</v>
      </c>
      <c r="R32" s="19">
        <f t="shared" si="8"/>
        <v>14.504673055555555</v>
      </c>
      <c r="S32" s="17">
        <f t="shared" si="2"/>
        <v>1.0041317477932179</v>
      </c>
      <c r="T32" s="18">
        <f t="shared" si="2"/>
        <v>1.0019482326746452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1962.212</v>
      </c>
      <c r="E33" s="18">
        <f>Reference!C103</f>
        <v>39.784999999999997</v>
      </c>
      <c r="F33" s="18">
        <f>Reference!D103</f>
        <v>44.004800000000003</v>
      </c>
      <c r="G33" s="18">
        <f>Reference!E103</f>
        <v>44.559800000000003</v>
      </c>
      <c r="H33" s="18">
        <f>Reference!F103</f>
        <v>32718.959999999999</v>
      </c>
      <c r="I33" s="18">
        <f>Reference!G103</f>
        <v>12.435</v>
      </c>
      <c r="J33" s="19">
        <f t="shared" si="7"/>
        <v>9.0885999999999996</v>
      </c>
      <c r="L33" s="17">
        <f>Test!B103</f>
        <v>1959.78</v>
      </c>
      <c r="M33" s="18">
        <f>Test!C103</f>
        <v>39.791200000000003</v>
      </c>
      <c r="N33" s="18">
        <f>Test!D103</f>
        <v>43.9985</v>
      </c>
      <c r="O33" s="18">
        <f>Test!E103</f>
        <v>44.524900000000002</v>
      </c>
      <c r="P33" s="18">
        <f>Test!F103</f>
        <v>32865.697999999997</v>
      </c>
      <c r="Q33" s="18">
        <f>Test!G103</f>
        <v>12.593999999999999</v>
      </c>
      <c r="R33" s="19">
        <f t="shared" si="8"/>
        <v>9.1293605555555555</v>
      </c>
      <c r="S33" s="17">
        <f t="shared" si="2"/>
        <v>1.0044848002503746</v>
      </c>
      <c r="T33" s="18">
        <f t="shared" si="2"/>
        <v>1.0127864897466827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995.24800000000005</v>
      </c>
      <c r="E34" s="23">
        <f>Reference!C104</f>
        <v>36.605400000000003</v>
      </c>
      <c r="F34" s="23">
        <f>Reference!D104</f>
        <v>42.357500000000002</v>
      </c>
      <c r="G34" s="23">
        <f>Reference!E104</f>
        <v>42.671399999999998</v>
      </c>
      <c r="H34" s="23">
        <f>Reference!F104</f>
        <v>18980.971000000001</v>
      </c>
      <c r="I34" s="23">
        <f>Reference!G104</f>
        <v>10.682</v>
      </c>
      <c r="J34" s="24">
        <f t="shared" si="7"/>
        <v>5.2724919444444449</v>
      </c>
      <c r="L34" s="22">
        <f>Test!B104</f>
        <v>996.65200000000004</v>
      </c>
      <c r="M34" s="23">
        <f>Test!C104</f>
        <v>36.613199999999999</v>
      </c>
      <c r="N34" s="23">
        <f>Test!D104</f>
        <v>42.3446</v>
      </c>
      <c r="O34" s="23">
        <f>Test!E104</f>
        <v>42.651600000000002</v>
      </c>
      <c r="P34" s="23">
        <f>Test!F104</f>
        <v>18839.503000000001</v>
      </c>
      <c r="Q34" s="23">
        <f>Test!G104</f>
        <v>10.332000000000001</v>
      </c>
      <c r="R34" s="24">
        <f t="shared" si="8"/>
        <v>5.2331952777777779</v>
      </c>
      <c r="S34" s="17">
        <f t="shared" si="2"/>
        <v>0.99254685126487996</v>
      </c>
      <c r="T34" s="18">
        <f t="shared" si="2"/>
        <v>0.96723460026212327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4192.76</v>
      </c>
      <c r="E35" s="13">
        <f>Reference!C105</f>
        <v>38.5488</v>
      </c>
      <c r="F35" s="13">
        <f>Reference!D105</f>
        <v>45.8249</v>
      </c>
      <c r="G35" s="13">
        <f>Reference!E105</f>
        <v>46.024500000000003</v>
      </c>
      <c r="H35" s="13">
        <f>Reference!F105</f>
        <v>49875.813999999998</v>
      </c>
      <c r="I35" s="13">
        <f>Reference!G105</f>
        <v>6.4130000000000003</v>
      </c>
      <c r="J35" s="14">
        <f t="shared" si="7"/>
        <v>13.854392777777777</v>
      </c>
      <c r="L35" s="12">
        <f>Test!B105</f>
        <v>4198.4520000000002</v>
      </c>
      <c r="M35" s="13">
        <f>Test!C105</f>
        <v>38.576900000000002</v>
      </c>
      <c r="N35" s="13">
        <f>Test!D105</f>
        <v>45.843299999999999</v>
      </c>
      <c r="O35" s="13">
        <f>Test!E105</f>
        <v>46.023499999999999</v>
      </c>
      <c r="P35" s="13">
        <f>Test!F105</f>
        <v>51023.603999999999</v>
      </c>
      <c r="Q35" s="13">
        <f>Test!G105</f>
        <v>6.6050000000000004</v>
      </c>
      <c r="R35" s="14">
        <f t="shared" si="8"/>
        <v>14.173223333333333</v>
      </c>
      <c r="S35" s="12">
        <f t="shared" si="2"/>
        <v>1.0230129577434064</v>
      </c>
      <c r="T35" s="13">
        <f t="shared" si="2"/>
        <v>1.02993918602838</v>
      </c>
      <c r="U35" s="90"/>
      <c r="V35" s="37">
        <f>bdrate($D35:$D38,E35:E38,$L35:$L38,M35:M38)</f>
        <v>-1.452811052812375E-2</v>
      </c>
      <c r="W35" s="42">
        <f>bdrate($D35:$D38,F35:F38,$L35:$L38,N35:N38)</f>
        <v>-1.5120203101482321E-2</v>
      </c>
      <c r="X35" s="42">
        <f>bdrate($D35:$D38,G35:G38,$L35:$L38,O35:O38)</f>
        <v>-1.1216203836144967E-2</v>
      </c>
      <c r="Y35" s="40">
        <f>bdrateOld($D35:$D38,E35:E38,$L35:$L38,M35:M38)</f>
        <v>-1.4301846474268132E-2</v>
      </c>
      <c r="Z35" s="44">
        <f>bdrateOld($D35:$D38,F35:F38,$L35:$L38,N35:N38)</f>
        <v>-1.6556954732537155E-2</v>
      </c>
      <c r="AA35" s="45">
        <f>bdrateOld($D35:$D38,G35:G38,$L35:$L38,O35:O38)</f>
        <v>-1.2166777762038672E-2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1770.2360000000001</v>
      </c>
      <c r="E36" s="18">
        <f>Reference!C106</f>
        <v>36.945</v>
      </c>
      <c r="F36" s="18">
        <f>Reference!D106</f>
        <v>44.648299999999999</v>
      </c>
      <c r="G36" s="18">
        <f>Reference!E106</f>
        <v>44.827599999999997</v>
      </c>
      <c r="H36" s="18">
        <f>Reference!F106</f>
        <v>27203.359</v>
      </c>
      <c r="I36" s="18">
        <f>Reference!G106</f>
        <v>5.4119999999999999</v>
      </c>
      <c r="J36" s="19">
        <f t="shared" si="7"/>
        <v>7.5564886111111109</v>
      </c>
      <c r="L36" s="17">
        <f>Test!B106</f>
        <v>1772.008</v>
      </c>
      <c r="M36" s="18">
        <f>Test!C106</f>
        <v>36.986499999999999</v>
      </c>
      <c r="N36" s="18">
        <f>Test!D106</f>
        <v>44.655799999999999</v>
      </c>
      <c r="O36" s="18">
        <f>Test!E106</f>
        <v>44.824300000000001</v>
      </c>
      <c r="P36" s="18">
        <f>Test!F106</f>
        <v>27555.445</v>
      </c>
      <c r="Q36" s="18">
        <f>Test!G106</f>
        <v>5.4740000000000002</v>
      </c>
      <c r="R36" s="19">
        <f t="shared" si="8"/>
        <v>7.6542902777777773</v>
      </c>
      <c r="S36" s="17">
        <f t="shared" si="2"/>
        <v>1.0129427399020834</v>
      </c>
      <c r="T36" s="18">
        <f t="shared" si="2"/>
        <v>1.0114560236511456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815.12</v>
      </c>
      <c r="E37" s="18">
        <f>Reference!C107</f>
        <v>34.945599999999999</v>
      </c>
      <c r="F37" s="18">
        <f>Reference!D107</f>
        <v>43.138300000000001</v>
      </c>
      <c r="G37" s="18">
        <f>Reference!E107</f>
        <v>43.424300000000002</v>
      </c>
      <c r="H37" s="18">
        <f>Reference!F107</f>
        <v>15013.567999999999</v>
      </c>
      <c r="I37" s="18">
        <f>Reference!G107</f>
        <v>4.6420000000000003</v>
      </c>
      <c r="J37" s="19">
        <f t="shared" si="7"/>
        <v>4.1704355555555557</v>
      </c>
      <c r="L37" s="17">
        <f>Test!B107</f>
        <v>813.77599999999995</v>
      </c>
      <c r="M37" s="18">
        <f>Test!C107</f>
        <v>34.982300000000002</v>
      </c>
      <c r="N37" s="18">
        <f>Test!D107</f>
        <v>43.190899999999999</v>
      </c>
      <c r="O37" s="18">
        <f>Test!E107</f>
        <v>43.469000000000001</v>
      </c>
      <c r="P37" s="18">
        <f>Test!F107</f>
        <v>14727.288</v>
      </c>
      <c r="Q37" s="18">
        <f>Test!G107</f>
        <v>4.5140000000000002</v>
      </c>
      <c r="R37" s="19">
        <f t="shared" si="8"/>
        <v>4.0909133333333338</v>
      </c>
      <c r="S37" s="17">
        <f t="shared" si="2"/>
        <v>0.9809319143857077</v>
      </c>
      <c r="T37" s="18">
        <f t="shared" si="2"/>
        <v>0.97242567858681606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391.72</v>
      </c>
      <c r="E38" s="23">
        <f>Reference!C108</f>
        <v>32.339799999999997</v>
      </c>
      <c r="F38" s="23">
        <f>Reference!D108</f>
        <v>41.212899999999998</v>
      </c>
      <c r="G38" s="23">
        <f>Reference!E108</f>
        <v>41.753999999999998</v>
      </c>
      <c r="H38" s="23">
        <f>Reference!F108</f>
        <v>7722.6350000000002</v>
      </c>
      <c r="I38" s="23">
        <f>Reference!G108</f>
        <v>3.952</v>
      </c>
      <c r="J38" s="24">
        <f t="shared" si="7"/>
        <v>2.1451763888888888</v>
      </c>
      <c r="L38" s="22">
        <f>Test!B108</f>
        <v>391.16</v>
      </c>
      <c r="M38" s="23">
        <f>Test!C108</f>
        <v>32.3733</v>
      </c>
      <c r="N38" s="23">
        <f>Test!D108</f>
        <v>41.236499999999999</v>
      </c>
      <c r="O38" s="23">
        <f>Test!E108</f>
        <v>41.790100000000002</v>
      </c>
      <c r="P38" s="23">
        <f>Test!F108</f>
        <v>7664.7929999999997</v>
      </c>
      <c r="Q38" s="23">
        <f>Test!G108</f>
        <v>3.86</v>
      </c>
      <c r="R38" s="24">
        <f t="shared" si="8"/>
        <v>2.1291091666666664</v>
      </c>
      <c r="S38" s="17">
        <f t="shared" si="2"/>
        <v>0.99251006942578535</v>
      </c>
      <c r="T38" s="18">
        <f t="shared" si="2"/>
        <v>0.97672064777327938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2478.3719999999998</v>
      </c>
      <c r="E39" s="13">
        <f>Reference!C109</f>
        <v>40.599200000000003</v>
      </c>
      <c r="F39" s="13">
        <f>Reference!D109</f>
        <v>46.092799999999997</v>
      </c>
      <c r="G39" s="13">
        <f>Reference!E109</f>
        <v>47.175600000000003</v>
      </c>
      <c r="H39" s="13">
        <f>Reference!F109</f>
        <v>38841.822</v>
      </c>
      <c r="I39" s="13">
        <f>Reference!G109</f>
        <v>6.665</v>
      </c>
      <c r="J39" s="14">
        <f t="shared" si="7"/>
        <v>10.789395000000001</v>
      </c>
      <c r="L39" s="12">
        <f>Test!B109</f>
        <v>2478.34</v>
      </c>
      <c r="M39" s="13">
        <f>Test!C109</f>
        <v>40.608699999999999</v>
      </c>
      <c r="N39" s="13">
        <f>Test!D109</f>
        <v>46.082700000000003</v>
      </c>
      <c r="O39" s="13">
        <f>Test!E109</f>
        <v>47.183700000000002</v>
      </c>
      <c r="P39" s="13">
        <f>Test!F109</f>
        <v>39500.218000000001</v>
      </c>
      <c r="Q39" s="13">
        <f>Test!G109</f>
        <v>6.7889999999999997</v>
      </c>
      <c r="R39" s="14">
        <f t="shared" si="8"/>
        <v>10.972282777777778</v>
      </c>
      <c r="S39" s="17">
        <f t="shared" si="2"/>
        <v>1.0169506981418122</v>
      </c>
      <c r="T39" s="18">
        <f t="shared" si="2"/>
        <v>1.0186046511627906</v>
      </c>
      <c r="U39" s="91"/>
      <c r="V39" s="37">
        <f>bdrate($D39:$D42,E39:E42,$L39:$L42,M39:M42)</f>
        <v>-3.9373009248225843E-3</v>
      </c>
      <c r="W39" s="42">
        <f>bdrate($D39:$D42,F39:F42,$L39:$L42,N39:N42)</f>
        <v>1.2658372364024117E-2</v>
      </c>
      <c r="X39" s="42">
        <f>bdrate($D39:$D42,G39:G42,$L39:$L42,O39:O42)</f>
        <v>-3.9387414633713647E-3</v>
      </c>
      <c r="Y39" s="40">
        <f>bdrateOld($D39:$D42,E39:E42,$L39:$L42,M39:M42)</f>
        <v>-4.2342260360732631E-3</v>
      </c>
      <c r="Z39" s="44">
        <f>bdrateOld($D39:$D42,F39:F42,$L39:$L42,N39:N42)</f>
        <v>1.5882126405516228E-2</v>
      </c>
      <c r="AA39" s="45">
        <f>bdrateOld($D39:$D42,G39:G42,$L39:$L42,O39:O42)</f>
        <v>-4.5097631704966723E-3</v>
      </c>
    </row>
    <row r="40" spans="1:27" x14ac:dyDescent="0.2">
      <c r="A40" s="16"/>
      <c r="B40" s="85"/>
      <c r="C40" s="16">
        <v>32</v>
      </c>
      <c r="D40" s="17">
        <f>Reference!B110</f>
        <v>1135.0160000000001</v>
      </c>
      <c r="E40" s="18">
        <f>Reference!C110</f>
        <v>39.490099999999998</v>
      </c>
      <c r="F40" s="18">
        <f>Reference!D110</f>
        <v>45.5182</v>
      </c>
      <c r="G40" s="18">
        <f>Reference!E110</f>
        <v>45.938200000000002</v>
      </c>
      <c r="H40" s="18">
        <f>Reference!F110</f>
        <v>21262.258000000002</v>
      </c>
      <c r="I40" s="18">
        <f>Reference!G110</f>
        <v>5.72</v>
      </c>
      <c r="J40" s="19">
        <f t="shared" si="7"/>
        <v>5.9061827777777784</v>
      </c>
      <c r="L40" s="17">
        <f>Test!B110</f>
        <v>1135.2760000000001</v>
      </c>
      <c r="M40" s="18">
        <f>Test!C110</f>
        <v>39.495199999999997</v>
      </c>
      <c r="N40" s="18">
        <f>Test!D110</f>
        <v>45.525700000000001</v>
      </c>
      <c r="O40" s="18">
        <f>Test!E110</f>
        <v>45.935400000000001</v>
      </c>
      <c r="P40" s="18">
        <f>Test!F110</f>
        <v>21675.761999999999</v>
      </c>
      <c r="Q40" s="18">
        <f>Test!G110</f>
        <v>5.7629999999999999</v>
      </c>
      <c r="R40" s="19">
        <f t="shared" si="8"/>
        <v>6.021045</v>
      </c>
      <c r="S40" s="17">
        <f t="shared" si="2"/>
        <v>1.0194477933623041</v>
      </c>
      <c r="T40" s="18">
        <f t="shared" si="2"/>
        <v>1.0075174825174826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533.87199999999996</v>
      </c>
      <c r="E41" s="18">
        <f>Reference!C111</f>
        <v>37.923699999999997</v>
      </c>
      <c r="F41" s="18">
        <f>Reference!D111</f>
        <v>44.6965</v>
      </c>
      <c r="G41" s="18">
        <f>Reference!E111</f>
        <v>44.284300000000002</v>
      </c>
      <c r="H41" s="18">
        <f>Reference!F111</f>
        <v>11242.117</v>
      </c>
      <c r="I41" s="18">
        <f>Reference!G111</f>
        <v>5.0919999999999996</v>
      </c>
      <c r="J41" s="19">
        <f t="shared" si="7"/>
        <v>3.122810277777778</v>
      </c>
      <c r="L41" s="17">
        <f>Test!B111</f>
        <v>533.44000000000005</v>
      </c>
      <c r="M41" s="18">
        <f>Test!C111</f>
        <v>37.9298</v>
      </c>
      <c r="N41" s="18">
        <f>Test!D111</f>
        <v>44.670200000000001</v>
      </c>
      <c r="O41" s="18">
        <f>Test!E111</f>
        <v>44.332700000000003</v>
      </c>
      <c r="P41" s="18">
        <f>Test!F111</f>
        <v>11268.545</v>
      </c>
      <c r="Q41" s="18">
        <f>Test!G111</f>
        <v>4.8140000000000001</v>
      </c>
      <c r="R41" s="19">
        <f t="shared" si="8"/>
        <v>3.1301513888888888</v>
      </c>
      <c r="S41" s="17">
        <f t="shared" si="2"/>
        <v>1.0023508027891899</v>
      </c>
      <c r="T41" s="18">
        <f t="shared" si="2"/>
        <v>0.94540455616653585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242.38399999999999</v>
      </c>
      <c r="E42" s="23">
        <f>Reference!C112</f>
        <v>35.822800000000001</v>
      </c>
      <c r="F42" s="23">
        <f>Reference!D112</f>
        <v>43.556399999999996</v>
      </c>
      <c r="G42" s="23">
        <f>Reference!E112</f>
        <v>42.437399999999997</v>
      </c>
      <c r="H42" s="23">
        <f>Reference!F112</f>
        <v>5610.66</v>
      </c>
      <c r="I42" s="23">
        <f>Reference!G112</f>
        <v>4.484</v>
      </c>
      <c r="J42" s="24">
        <f t="shared" si="7"/>
        <v>1.5585166666666666</v>
      </c>
      <c r="L42" s="22">
        <f>Test!B112</f>
        <v>242.20400000000001</v>
      </c>
      <c r="M42" s="23">
        <f>Test!C112</f>
        <v>35.837299999999999</v>
      </c>
      <c r="N42" s="23">
        <f>Test!D112</f>
        <v>43.516599999999997</v>
      </c>
      <c r="O42" s="23">
        <f>Test!E112</f>
        <v>42.331499999999998</v>
      </c>
      <c r="P42" s="23">
        <f>Test!F112</f>
        <v>5634.0860000000002</v>
      </c>
      <c r="Q42" s="23">
        <f>Test!G112</f>
        <v>4.1900000000000004</v>
      </c>
      <c r="R42" s="24">
        <f t="shared" si="8"/>
        <v>1.565023888888889</v>
      </c>
      <c r="S42" s="17">
        <f t="shared" si="2"/>
        <v>1.0041752663679497</v>
      </c>
      <c r="T42" s="18">
        <f t="shared" si="2"/>
        <v>0.93443354148082081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945.16399999999999</v>
      </c>
      <c r="E43" s="13">
        <f>Reference!C113</f>
        <v>43.478999999999999</v>
      </c>
      <c r="F43" s="13">
        <f>Reference!D113</f>
        <v>47.100299999999997</v>
      </c>
      <c r="G43" s="13">
        <f>Reference!E113</f>
        <v>48.100499999999997</v>
      </c>
      <c r="H43" s="13">
        <f>Reference!F113</f>
        <v>17373.864000000001</v>
      </c>
      <c r="I43" s="13">
        <f>Reference!G113</f>
        <v>4.5830000000000002</v>
      </c>
      <c r="J43" s="14">
        <f t="shared" si="7"/>
        <v>4.8260733333333334</v>
      </c>
      <c r="L43" s="12">
        <f>Test!B113</f>
        <v>944.64</v>
      </c>
      <c r="M43" s="13">
        <f>Test!C113</f>
        <v>43.492400000000004</v>
      </c>
      <c r="N43" s="13">
        <f>Test!D113</f>
        <v>47.103200000000001</v>
      </c>
      <c r="O43" s="13">
        <f>Test!E113</f>
        <v>48.0961</v>
      </c>
      <c r="P43" s="13">
        <f>Test!F113</f>
        <v>17520.899000000001</v>
      </c>
      <c r="Q43" s="13">
        <f>Test!G113</f>
        <v>4.4640000000000004</v>
      </c>
      <c r="R43" s="14">
        <f t="shared" si="8"/>
        <v>4.8669163888888889</v>
      </c>
      <c r="S43" s="17">
        <f t="shared" si="2"/>
        <v>1.0084629993650231</v>
      </c>
      <c r="T43" s="18">
        <f t="shared" si="2"/>
        <v>0.97403447523456255</v>
      </c>
      <c r="U43" s="91"/>
      <c r="V43" s="37">
        <f>bdrate($D43:$D46,E43:E46,$L43:$L46,M43:M46)</f>
        <v>-4.0592534894956511E-3</v>
      </c>
      <c r="W43" s="42">
        <f>bdrate($D43:$D46,F43:F46,$L43:$L46,N43:N46)</f>
        <v>-8.4102609959826324E-3</v>
      </c>
      <c r="X43" s="42">
        <f>bdrate($D43:$D46,G43:G46,$L43:$L46,O43:O46)</f>
        <v>-1.3071604831770389E-2</v>
      </c>
      <c r="Y43" s="40">
        <f>bdrateOld($D43:$D46,E43:E46,$L43:$L46,M43:M46)</f>
        <v>-4.4986254442432871E-3</v>
      </c>
      <c r="Z43" s="44">
        <f>bdrateOld($D43:$D46,F43:F46,$L43:$L46,N43:N46)</f>
        <v>-4.5753798836889459E-3</v>
      </c>
      <c r="AA43" s="45">
        <f>bdrateOld($D43:$D46,G43:G46,$L43:$L46,O43:O46)</f>
        <v>-1.1208642947037828E-2</v>
      </c>
    </row>
    <row r="44" spans="1:27" x14ac:dyDescent="0.2">
      <c r="A44" s="16"/>
      <c r="B44" s="85"/>
      <c r="C44" s="16">
        <v>32</v>
      </c>
      <c r="D44" s="17">
        <f>Reference!B114</f>
        <v>515.13599999999997</v>
      </c>
      <c r="E44" s="18">
        <f>Reference!C114</f>
        <v>42.211799999999997</v>
      </c>
      <c r="F44" s="18">
        <f>Reference!D114</f>
        <v>46.287399999999998</v>
      </c>
      <c r="G44" s="18">
        <f>Reference!E114</f>
        <v>47.100200000000001</v>
      </c>
      <c r="H44" s="18">
        <f>Reference!F114</f>
        <v>9994.5300000000007</v>
      </c>
      <c r="I44" s="18">
        <f>Reference!G114</f>
        <v>4.3899999999999997</v>
      </c>
      <c r="J44" s="19">
        <f t="shared" si="7"/>
        <v>2.7762583333333337</v>
      </c>
      <c r="L44" s="17">
        <f>Test!B114</f>
        <v>515.84</v>
      </c>
      <c r="M44" s="18">
        <f>Test!C114</f>
        <v>42.2211</v>
      </c>
      <c r="N44" s="18">
        <f>Test!D114</f>
        <v>46.317599999999999</v>
      </c>
      <c r="O44" s="18">
        <f>Test!E114</f>
        <v>47.140999999999998</v>
      </c>
      <c r="P44" s="18">
        <f>Test!F114</f>
        <v>10006.723</v>
      </c>
      <c r="Q44" s="18">
        <f>Test!G114</f>
        <v>4.1260000000000003</v>
      </c>
      <c r="R44" s="19">
        <f t="shared" si="8"/>
        <v>2.7796452777777776</v>
      </c>
      <c r="S44" s="17">
        <f t="shared" si="2"/>
        <v>1.0012199673221251</v>
      </c>
      <c r="T44" s="18">
        <f t="shared" si="2"/>
        <v>0.93986332574031906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294.80399999999997</v>
      </c>
      <c r="E45" s="18">
        <f>Reference!C115</f>
        <v>40.440600000000003</v>
      </c>
      <c r="F45" s="18">
        <f>Reference!D115</f>
        <v>45.259</v>
      </c>
      <c r="G45" s="18">
        <f>Reference!E115</f>
        <v>45.7851</v>
      </c>
      <c r="H45" s="18">
        <f>Reference!F115</f>
        <v>5510.9260000000004</v>
      </c>
      <c r="I45" s="18">
        <f>Reference!G115</f>
        <v>4.2469999999999999</v>
      </c>
      <c r="J45" s="19">
        <f t="shared" si="7"/>
        <v>1.5308127777777778</v>
      </c>
      <c r="L45" s="17">
        <f>Test!B115</f>
        <v>294.2</v>
      </c>
      <c r="M45" s="18">
        <f>Test!C115</f>
        <v>40.448700000000002</v>
      </c>
      <c r="N45" s="18">
        <f>Test!D115</f>
        <v>45.252800000000001</v>
      </c>
      <c r="O45" s="18">
        <f>Test!E115</f>
        <v>45.803100000000001</v>
      </c>
      <c r="P45" s="18">
        <f>Test!F115</f>
        <v>5655.7520000000004</v>
      </c>
      <c r="Q45" s="18">
        <f>Test!G115</f>
        <v>4.0679999999999996</v>
      </c>
      <c r="R45" s="19">
        <f t="shared" si="8"/>
        <v>1.5710422222222222</v>
      </c>
      <c r="S45" s="17">
        <f t="shared" si="2"/>
        <v>1.0262797939946935</v>
      </c>
      <c r="T45" s="18">
        <f t="shared" si="2"/>
        <v>0.95785260183659049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164.08</v>
      </c>
      <c r="E46" s="23">
        <f>Reference!C116</f>
        <v>37.877299999999998</v>
      </c>
      <c r="F46" s="23">
        <f>Reference!D116</f>
        <v>43.420499999999997</v>
      </c>
      <c r="G46" s="23">
        <f>Reference!E116</f>
        <v>43.831699999999998</v>
      </c>
      <c r="H46" s="23">
        <f>Reference!F116</f>
        <v>3204.895</v>
      </c>
      <c r="I46" s="23">
        <f>Reference!G116</f>
        <v>4.1710000000000003</v>
      </c>
      <c r="J46" s="24">
        <f t="shared" si="7"/>
        <v>0.89024861111111109</v>
      </c>
      <c r="L46" s="22">
        <f>Test!B116</f>
        <v>163.608</v>
      </c>
      <c r="M46" s="23">
        <f>Test!C116</f>
        <v>37.884700000000002</v>
      </c>
      <c r="N46" s="23">
        <f>Test!D116</f>
        <v>43.508000000000003</v>
      </c>
      <c r="O46" s="23">
        <f>Test!E116</f>
        <v>43.912700000000001</v>
      </c>
      <c r="P46" s="23">
        <f>Test!F116</f>
        <v>3150.1889999999999</v>
      </c>
      <c r="Q46" s="23">
        <f>Test!G116</f>
        <v>3.9430000000000001</v>
      </c>
      <c r="R46" s="24">
        <f t="shared" si="8"/>
        <v>0.87505250000000001</v>
      </c>
      <c r="S46" s="17">
        <f t="shared" si="2"/>
        <v>0.98293048602216293</v>
      </c>
      <c r="T46" s="18">
        <f t="shared" si="2"/>
        <v>0.94533684967633658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1338.5239999999999</v>
      </c>
      <c r="E47" s="13">
        <f>Reference!C117</f>
        <v>42.856999999999999</v>
      </c>
      <c r="F47" s="13">
        <f>Reference!D117</f>
        <v>48.640900000000002</v>
      </c>
      <c r="G47" s="13">
        <f>Reference!E117</f>
        <v>48.448</v>
      </c>
      <c r="H47" s="13">
        <f>Reference!F117</f>
        <v>20052.781999999999</v>
      </c>
      <c r="I47" s="13">
        <f>Reference!G117</f>
        <v>4.7370000000000001</v>
      </c>
      <c r="J47" s="14">
        <f>H47/3600</f>
        <v>5.5702172222222224</v>
      </c>
      <c r="L47" s="12">
        <f>Test!B117</f>
        <v>1335.836</v>
      </c>
      <c r="M47" s="13">
        <f>Test!C117</f>
        <v>42.864600000000003</v>
      </c>
      <c r="N47" s="13">
        <f>Test!D117</f>
        <v>48.684100000000001</v>
      </c>
      <c r="O47" s="13">
        <f>Test!E117</f>
        <v>48.4651</v>
      </c>
      <c r="P47" s="13">
        <f>Test!F117</f>
        <v>20112.892</v>
      </c>
      <c r="Q47" s="13">
        <f>Test!G117</f>
        <v>4.4829999999999997</v>
      </c>
      <c r="R47" s="14">
        <f>P47/3600</f>
        <v>5.5869144444444441</v>
      </c>
      <c r="S47" s="17">
        <f t="shared" ref="S47:T62" si="9">P47/H47</f>
        <v>1.0029975890627048</v>
      </c>
      <c r="T47" s="18">
        <f t="shared" si="9"/>
        <v>0.94637956512560684</v>
      </c>
      <c r="U47" s="91"/>
      <c r="V47" s="72">
        <f>bdrate($D47:$D50,E47:E50,$L47:$L50,M47:M50)</f>
        <v>-7.4663496728365475E-3</v>
      </c>
      <c r="W47" s="73">
        <f>bdrate($D47:$D50,F47:F50,$L47:$L50,N47:N50)</f>
        <v>-1.4534376018891404E-2</v>
      </c>
      <c r="X47" s="74">
        <f>bdrate($D47:$D50,G47:G50,$L47:$L50,O47:O50)</f>
        <v>-1.5106703169256441E-2</v>
      </c>
      <c r="Y47" s="37">
        <f>bdrateOld($D47:$D50,E47:E50,$L47:$L50,M47:M50)</f>
        <v>-7.869694141554695E-3</v>
      </c>
      <c r="Z47" s="42">
        <f>bdrateOld($D47:$D50,F47:F50,$L47:$L50,N47:N50)</f>
        <v>-1.0848054290084508E-2</v>
      </c>
      <c r="AA47" s="43">
        <f>bdrateOld($D47:$D50,G47:G50,$L47:$L50,O47:O50)</f>
        <v>-1.8553144267794086E-2</v>
      </c>
    </row>
    <row r="48" spans="1:27" x14ac:dyDescent="0.2">
      <c r="A48" s="16"/>
      <c r="B48" s="85"/>
      <c r="C48" s="16">
        <v>32</v>
      </c>
      <c r="D48" s="17">
        <f>Reference!B118</f>
        <v>722.00400000000002</v>
      </c>
      <c r="E48" s="18">
        <f>Reference!C118</f>
        <v>41.578000000000003</v>
      </c>
      <c r="F48" s="18">
        <f>Reference!D118</f>
        <v>47.773699999999998</v>
      </c>
      <c r="G48" s="18">
        <f>Reference!E118</f>
        <v>47.318899999999999</v>
      </c>
      <c r="H48" s="18">
        <f>Reference!F118</f>
        <v>11417.828</v>
      </c>
      <c r="I48" s="18">
        <f>Reference!G118</f>
        <v>4.3179999999999996</v>
      </c>
      <c r="J48" s="19">
        <f t="shared" ref="J48:J70" si="10">H48/3600</f>
        <v>3.1716188888888888</v>
      </c>
      <c r="L48" s="17">
        <f>Test!B118</f>
        <v>722.79200000000003</v>
      </c>
      <c r="M48" s="18">
        <f>Test!C118</f>
        <v>41.596800000000002</v>
      </c>
      <c r="N48" s="18">
        <f>Test!D118</f>
        <v>47.8688</v>
      </c>
      <c r="O48" s="18">
        <f>Test!E118</f>
        <v>47.339599999999997</v>
      </c>
      <c r="P48" s="18">
        <f>Test!F118</f>
        <v>11528</v>
      </c>
      <c r="Q48" s="18">
        <f>Test!G118</f>
        <v>4.2519999999999998</v>
      </c>
      <c r="R48" s="19">
        <f t="shared" ref="R48:R70" si="11">P48/3600</f>
        <v>3.2022222222222223</v>
      </c>
      <c r="S48" s="17">
        <f t="shared" si="9"/>
        <v>1.0096491206558726</v>
      </c>
      <c r="T48" s="18">
        <f t="shared" si="9"/>
        <v>0.98471514590088005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406.72399999999999</v>
      </c>
      <c r="E49" s="18">
        <f>Reference!C119</f>
        <v>39.695399999999999</v>
      </c>
      <c r="F49" s="18">
        <f>Reference!D119</f>
        <v>46.687100000000001</v>
      </c>
      <c r="G49" s="18">
        <f>Reference!E119</f>
        <v>45.746200000000002</v>
      </c>
      <c r="H49" s="18">
        <f>Reference!F119</f>
        <v>6678.2790000000005</v>
      </c>
      <c r="I49" s="18">
        <f>Reference!G119</f>
        <v>4.2590000000000003</v>
      </c>
      <c r="J49" s="19">
        <f t="shared" si="10"/>
        <v>1.8550775000000002</v>
      </c>
      <c r="L49" s="17">
        <f>Test!B119</f>
        <v>406.6</v>
      </c>
      <c r="M49" s="18">
        <f>Test!C119</f>
        <v>39.722499999999997</v>
      </c>
      <c r="N49" s="18">
        <f>Test!D119</f>
        <v>46.663899999999998</v>
      </c>
      <c r="O49" s="18">
        <f>Test!E119</f>
        <v>45.861600000000003</v>
      </c>
      <c r="P49" s="18">
        <f>Test!F119</f>
        <v>6654.3710000000001</v>
      </c>
      <c r="Q49" s="18">
        <f>Test!G119</f>
        <v>4.0140000000000002</v>
      </c>
      <c r="R49" s="19">
        <f t="shared" si="11"/>
        <v>1.8484363888888888</v>
      </c>
      <c r="S49" s="17">
        <f t="shared" si="9"/>
        <v>0.99642003576071014</v>
      </c>
      <c r="T49" s="18">
        <f t="shared" si="9"/>
        <v>0.94247475933317681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223.12799999999999</v>
      </c>
      <c r="E50" s="23">
        <f>Reference!C120</f>
        <v>36.939700000000002</v>
      </c>
      <c r="F50" s="23">
        <f>Reference!D120</f>
        <v>45.195900000000002</v>
      </c>
      <c r="G50" s="23">
        <f>Reference!E120</f>
        <v>43.4422</v>
      </c>
      <c r="H50" s="23">
        <f>Reference!F120</f>
        <v>3830.4870000000001</v>
      </c>
      <c r="I50" s="23">
        <f>Reference!G120</f>
        <v>3.952</v>
      </c>
      <c r="J50" s="24">
        <f t="shared" si="10"/>
        <v>1.0640241666666668</v>
      </c>
      <c r="L50" s="22">
        <f>Test!B120</f>
        <v>223.77199999999999</v>
      </c>
      <c r="M50" s="23">
        <f>Test!C120</f>
        <v>37.011299999999999</v>
      </c>
      <c r="N50" s="23">
        <f>Test!D120</f>
        <v>45.199399999999997</v>
      </c>
      <c r="O50" s="23">
        <f>Test!E120</f>
        <v>43.265099999999997</v>
      </c>
      <c r="P50" s="23">
        <f>Test!F120</f>
        <v>3855.2339999999999</v>
      </c>
      <c r="Q50" s="23">
        <f>Test!G120</f>
        <v>4.016</v>
      </c>
      <c r="R50" s="24">
        <f t="shared" si="11"/>
        <v>1.0708983333333333</v>
      </c>
      <c r="S50" s="22">
        <f t="shared" si="9"/>
        <v>1.0064605362190238</v>
      </c>
      <c r="T50" s="23">
        <f t="shared" si="9"/>
        <v>1.0161943319838056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48.27995984133203</v>
      </c>
      <c r="J75" s="15">
        <f>GEOMEAN(J3:J18)</f>
        <v>51.067702797407094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>
        <f>GEOMEAN(I19:I34)</f>
        <v>12.368723919563049</v>
      </c>
      <c r="J76" s="15">
        <f>GEOMEAN(J19:J34)</f>
        <v>12.440505131704391</v>
      </c>
      <c r="Q76" s="15">
        <f>GEOMEAN(Q19:Q34)</f>
        <v>12.462200553749446</v>
      </c>
      <c r="R76" s="15">
        <f>GEOMEAN(R19:R34)</f>
        <v>12.560090642339469</v>
      </c>
      <c r="S76" s="15">
        <f>GEOMEAN(S19:S34)</f>
        <v>1.0096125928464366</v>
      </c>
      <c r="T76" s="15">
        <f>GEOMEAN(T19:T34)</f>
        <v>1.0075575002558308</v>
      </c>
      <c r="V76" s="40">
        <f>AVERAGE(V19:V34)</f>
        <v>-4.6096347689565387E-3</v>
      </c>
      <c r="W76" s="44">
        <f t="shared" ref="W76:AA76" si="17">AVERAGE(W19:W34)</f>
        <v>-1.8464066890430675E-4</v>
      </c>
      <c r="X76" s="44">
        <f t="shared" si="17"/>
        <v>-1.6545944059626061E-3</v>
      </c>
      <c r="Y76" s="40">
        <f t="shared" si="17"/>
        <v>-4.6289078343503542E-3</v>
      </c>
      <c r="Z76" s="44">
        <f t="shared" si="17"/>
        <v>3.8431882158240782E-5</v>
      </c>
      <c r="AA76" s="45">
        <f t="shared" si="17"/>
        <v>-1.0831765260411463E-3</v>
      </c>
    </row>
    <row r="77" spans="1:27" x14ac:dyDescent="0.2">
      <c r="B77" s="89" t="s">
        <v>51</v>
      </c>
      <c r="I77" s="15">
        <f>GEOMEAN(I35:I50)</f>
        <v>4.7537207838382622</v>
      </c>
      <c r="J77" s="15">
        <f>GEOMEAN(J35:J50)</f>
        <v>3.2861824874425749</v>
      </c>
      <c r="Q77" s="15">
        <f>GEOMEAN(Q35:Q50)</f>
        <v>4.6334656803852639</v>
      </c>
      <c r="R77" s="15">
        <f>GEOMEAN(R35:R50)</f>
        <v>3.3037374469455578</v>
      </c>
      <c r="S77" s="15">
        <f>GEOMEAN(S35:S50)</f>
        <v>1.005342052539707</v>
      </c>
      <c r="T77" s="15">
        <f>GEOMEAN(T35:T50)</f>
        <v>0.9747029518725957</v>
      </c>
      <c r="V77" s="40">
        <f>AVERAGE(V35:V50)</f>
        <v>-7.4977536538196332E-3</v>
      </c>
      <c r="W77" s="44">
        <f t="shared" ref="W77:AA77" si="18">AVERAGE(W35:W50)</f>
        <v>-6.35161693808306E-3</v>
      </c>
      <c r="X77" s="44">
        <f t="shared" si="18"/>
        <v>-1.083331332513579E-2</v>
      </c>
      <c r="Y77" s="40">
        <f t="shared" si="18"/>
        <v>-7.7260980240348442E-3</v>
      </c>
      <c r="Z77" s="44">
        <f t="shared" si="18"/>
        <v>-4.0245656251985951E-3</v>
      </c>
      <c r="AA77" s="45">
        <f t="shared" si="18"/>
        <v>-1.1609582036841815E-2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14.159301248426265</v>
      </c>
      <c r="J80" s="54">
        <f xml:space="preserve"> GEOMEAN(J3:J50)</f>
        <v>12.780818611544944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16956.848000000002</v>
      </c>
      <c r="E3" s="13">
        <f>Reference!C145</f>
        <v>40.151600000000002</v>
      </c>
      <c r="F3" s="13">
        <f>Reference!D145</f>
        <v>48.551099999999998</v>
      </c>
      <c r="G3" s="13">
        <f>Reference!E145</f>
        <v>46.408799999999999</v>
      </c>
      <c r="H3" s="13">
        <f>Reference!F145</f>
        <v>209296.375</v>
      </c>
      <c r="I3" s="13">
        <f>Reference!G145</f>
        <v>32.433999999999997</v>
      </c>
      <c r="J3" s="14">
        <f>H3/3600</f>
        <v>58.137881944444445</v>
      </c>
      <c r="L3" s="12">
        <f>Test!B145</f>
        <v>0</v>
      </c>
      <c r="M3" s="13">
        <f>Test!C145</f>
        <v>0</v>
      </c>
      <c r="N3" s="13">
        <f>Test!D145</f>
        <v>0</v>
      </c>
      <c r="O3" s="13">
        <f>Test!E145</f>
        <v>0</v>
      </c>
      <c r="P3" s="13">
        <f>Test!F145</f>
        <v>0</v>
      </c>
      <c r="Q3" s="13">
        <f>Test!G145</f>
        <v>0</v>
      </c>
      <c r="R3" s="14">
        <f>P3/3600</f>
        <v>0</v>
      </c>
      <c r="S3" s="12">
        <f t="shared" ref="S3:T3" si="0">P3/H3</f>
        <v>0</v>
      </c>
      <c r="T3" s="13">
        <f t="shared" si="0"/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8569.2720000000008</v>
      </c>
      <c r="E4" s="18">
        <f>Reference!C146</f>
        <v>39.536099999999998</v>
      </c>
      <c r="F4" s="18">
        <f>Reference!D146</f>
        <v>47.670499999999997</v>
      </c>
      <c r="G4" s="18">
        <f>Reference!E146</f>
        <v>45.270400000000002</v>
      </c>
      <c r="H4" s="18">
        <f>Reference!F146</f>
        <v>122289.844</v>
      </c>
      <c r="I4" s="18">
        <f>Reference!G146</f>
        <v>28.442</v>
      </c>
      <c r="J4" s="19">
        <f t="shared" ref="J4:J14" si="1">H4/3600</f>
        <v>33.969401111111111</v>
      </c>
      <c r="L4" s="17">
        <f>Test!B146</f>
        <v>8526.1200000000008</v>
      </c>
      <c r="M4" s="18">
        <f>Test!C146</f>
        <v>39.5364</v>
      </c>
      <c r="N4" s="18">
        <f>Test!D146</f>
        <v>47.689100000000003</v>
      </c>
      <c r="O4" s="18">
        <f>Test!E146</f>
        <v>45.265099999999997</v>
      </c>
      <c r="P4" s="18">
        <f>Test!F146</f>
        <v>109730.211</v>
      </c>
      <c r="Q4" s="18">
        <f>Test!G146</f>
        <v>29.58</v>
      </c>
      <c r="R4" s="19">
        <f t="shared" ref="R4:R14" si="2">P4/3600</f>
        <v>30.480614166666665</v>
      </c>
      <c r="S4" s="17">
        <f t="shared" ref="S4:S26" si="3">P4/H4</f>
        <v>0.89729618920766629</v>
      </c>
      <c r="T4" s="18">
        <f t="shared" ref="T4:T26" si="4">Q4/I4</f>
        <v>1.04001125096688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4666.1120000000001</v>
      </c>
      <c r="E5" s="18">
        <f>Reference!C147</f>
        <v>38.5306</v>
      </c>
      <c r="F5" s="18">
        <f>Reference!D147</f>
        <v>46.5197</v>
      </c>
      <c r="G5" s="18">
        <f>Reference!E147</f>
        <v>43.863399999999999</v>
      </c>
      <c r="H5" s="18">
        <f>Reference!F147</f>
        <v>66625.633000000002</v>
      </c>
      <c r="I5" s="18">
        <f>Reference!G147</f>
        <v>25.344999999999999</v>
      </c>
      <c r="J5" s="19">
        <f t="shared" si="1"/>
        <v>18.50712027777778</v>
      </c>
      <c r="L5" s="17">
        <f>Test!B147</f>
        <v>4641.3760000000002</v>
      </c>
      <c r="M5" s="18">
        <f>Test!C147</f>
        <v>38.535899999999998</v>
      </c>
      <c r="N5" s="18">
        <f>Test!D147</f>
        <v>46.508099999999999</v>
      </c>
      <c r="O5" s="18">
        <f>Test!E147</f>
        <v>43.863199999999999</v>
      </c>
      <c r="P5" s="18">
        <f>Test!F147</f>
        <v>58841.938000000002</v>
      </c>
      <c r="Q5" s="18">
        <f>Test!G147</f>
        <v>26.038</v>
      </c>
      <c r="R5" s="19">
        <f t="shared" si="2"/>
        <v>16.34498277777778</v>
      </c>
      <c r="S5" s="17">
        <f t="shared" si="3"/>
        <v>0.8831726671925203</v>
      </c>
      <c r="T5" s="18">
        <f t="shared" si="4"/>
        <v>1.0273426711382916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2533.16</v>
      </c>
      <c r="E6" s="23">
        <f>Reference!C148</f>
        <v>36.971200000000003</v>
      </c>
      <c r="F6" s="23">
        <f>Reference!D148</f>
        <v>45.174100000000003</v>
      </c>
      <c r="G6" s="23">
        <f>Reference!E148</f>
        <v>42.262999999999998</v>
      </c>
      <c r="H6" s="23">
        <f>Reference!F148</f>
        <v>34853.491999999998</v>
      </c>
      <c r="I6" s="23">
        <f>Reference!G148</f>
        <v>21.89</v>
      </c>
      <c r="J6" s="24">
        <f t="shared" si="1"/>
        <v>9.6815255555555559</v>
      </c>
      <c r="L6" s="22">
        <f>Test!B148</f>
        <v>2524.3679999999999</v>
      </c>
      <c r="M6" s="23">
        <f>Test!C148</f>
        <v>36.977899999999998</v>
      </c>
      <c r="N6" s="23">
        <f>Test!D148</f>
        <v>45.150399999999998</v>
      </c>
      <c r="O6" s="23">
        <f>Test!E148</f>
        <v>42.247599999999998</v>
      </c>
      <c r="P6" s="23">
        <f>Test!F148</f>
        <v>30970.300999999999</v>
      </c>
      <c r="Q6" s="23">
        <f>Test!G148</f>
        <v>23.023</v>
      </c>
      <c r="R6" s="24">
        <f t="shared" si="2"/>
        <v>8.6028613888888881</v>
      </c>
      <c r="S6" s="17">
        <f t="shared" si="3"/>
        <v>0.88858531018929177</v>
      </c>
      <c r="T6" s="18">
        <f t="shared" si="4"/>
        <v>1.0517587939698492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94006.952000000005</v>
      </c>
      <c r="E7" s="13">
        <f>Reference!C149</f>
        <v>41.659700000000001</v>
      </c>
      <c r="F7" s="13">
        <f>Reference!D149</f>
        <v>36.457900000000002</v>
      </c>
      <c r="G7" s="13">
        <f>Reference!E149</f>
        <v>37.4666</v>
      </c>
      <c r="H7" s="13">
        <f>Reference!F149</f>
        <v>377633.625</v>
      </c>
      <c r="I7" s="13">
        <f>Reference!G149</f>
        <v>33.393000000000001</v>
      </c>
      <c r="J7" s="14">
        <f t="shared" si="1"/>
        <v>104.89822916666667</v>
      </c>
      <c r="L7" s="12">
        <f>Test!B149</f>
        <v>0</v>
      </c>
      <c r="M7" s="13">
        <f>Test!C149</f>
        <v>0</v>
      </c>
      <c r="N7" s="13">
        <f>Test!D149</f>
        <v>0</v>
      </c>
      <c r="O7" s="13">
        <f>Test!E149</f>
        <v>0</v>
      </c>
      <c r="P7" s="13">
        <f>Test!F149</f>
        <v>0</v>
      </c>
      <c r="Q7" s="13">
        <f>Test!G149</f>
        <v>0</v>
      </c>
      <c r="R7" s="14">
        <f t="shared" si="2"/>
        <v>0</v>
      </c>
      <c r="S7" s="17">
        <f t="shared" si="3"/>
        <v>0</v>
      </c>
      <c r="T7" s="18">
        <f t="shared" si="4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Reference!B150</f>
        <v>48124.512000000002</v>
      </c>
      <c r="E8" s="18">
        <f>Reference!C150</f>
        <v>38.880600000000001</v>
      </c>
      <c r="F8" s="18">
        <f>Reference!D150</f>
        <v>34.134900000000002</v>
      </c>
      <c r="G8" s="18">
        <f>Reference!E150</f>
        <v>35.4771</v>
      </c>
      <c r="H8" s="18">
        <f>Reference!F150</f>
        <v>247662.516</v>
      </c>
      <c r="I8" s="18">
        <f>Reference!G150</f>
        <v>28.213999999999999</v>
      </c>
      <c r="J8" s="19">
        <f t="shared" si="1"/>
        <v>68.795143333333328</v>
      </c>
      <c r="L8" s="17">
        <f>Test!B150</f>
        <v>0</v>
      </c>
      <c r="M8" s="18">
        <f>Test!C150</f>
        <v>0</v>
      </c>
      <c r="N8" s="18">
        <f>Test!D150</f>
        <v>0</v>
      </c>
      <c r="O8" s="18">
        <f>Test!E150</f>
        <v>0</v>
      </c>
      <c r="P8" s="18">
        <f>Test!F150</f>
        <v>0</v>
      </c>
      <c r="Q8" s="18">
        <f>Test!G150</f>
        <v>0</v>
      </c>
      <c r="R8" s="19">
        <f t="shared" si="2"/>
        <v>0</v>
      </c>
      <c r="S8" s="17">
        <f t="shared" si="3"/>
        <v>0</v>
      </c>
      <c r="T8" s="18">
        <f t="shared" si="4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22293.64</v>
      </c>
      <c r="E9" s="18">
        <f>Reference!C151</f>
        <v>35.784799999999997</v>
      </c>
      <c r="F9" s="18">
        <f>Reference!D151</f>
        <v>32.194600000000001</v>
      </c>
      <c r="G9" s="18">
        <f>Reference!E151</f>
        <v>33.7639</v>
      </c>
      <c r="H9" s="18">
        <f>Reference!F151</f>
        <v>161161.625</v>
      </c>
      <c r="I9" s="18">
        <f>Reference!G151</f>
        <v>24.951000000000001</v>
      </c>
      <c r="J9" s="19">
        <f t="shared" si="1"/>
        <v>44.767118055555557</v>
      </c>
      <c r="L9" s="17">
        <f>Test!B151</f>
        <v>0</v>
      </c>
      <c r="M9" s="18">
        <f>Test!C151</f>
        <v>0</v>
      </c>
      <c r="N9" s="18">
        <f>Test!D151</f>
        <v>0</v>
      </c>
      <c r="O9" s="18">
        <f>Test!E151</f>
        <v>0</v>
      </c>
      <c r="P9" s="18">
        <f>Test!F151</f>
        <v>0</v>
      </c>
      <c r="Q9" s="18">
        <f>Test!G151</f>
        <v>0</v>
      </c>
      <c r="R9" s="19">
        <f t="shared" si="2"/>
        <v>0</v>
      </c>
      <c r="S9" s="17">
        <f t="shared" si="3"/>
        <v>0</v>
      </c>
      <c r="T9" s="18">
        <f t="shared" si="4"/>
        <v>0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9342.0640000000003</v>
      </c>
      <c r="E10" s="23">
        <f>Reference!C152</f>
        <v>32.7624</v>
      </c>
      <c r="F10" s="23">
        <f>Reference!D152</f>
        <v>30.512799999999999</v>
      </c>
      <c r="G10" s="23">
        <f>Reference!E152</f>
        <v>32.282499999999999</v>
      </c>
      <c r="H10" s="23">
        <f>Reference!F152</f>
        <v>91538.687999999995</v>
      </c>
      <c r="I10" s="23">
        <f>Reference!G152</f>
        <v>21.984000000000002</v>
      </c>
      <c r="J10" s="24">
        <f t="shared" si="1"/>
        <v>25.42741333333333</v>
      </c>
      <c r="L10" s="22">
        <f>Test!B152</f>
        <v>9317.1679999999997</v>
      </c>
      <c r="M10" s="23">
        <f>Test!C152</f>
        <v>32.770200000000003</v>
      </c>
      <c r="N10" s="23">
        <f>Test!D152</f>
        <v>30.515000000000001</v>
      </c>
      <c r="O10" s="23">
        <f>Test!E152</f>
        <v>32.304499999999997</v>
      </c>
      <c r="P10" s="23">
        <f>Test!F152</f>
        <v>85645.491999999998</v>
      </c>
      <c r="Q10" s="23">
        <f>Test!G152</f>
        <v>22.687000000000001</v>
      </c>
      <c r="R10" s="24">
        <f t="shared" si="2"/>
        <v>23.790414444444444</v>
      </c>
      <c r="S10" s="17">
        <f t="shared" si="3"/>
        <v>0.93562070717028412</v>
      </c>
      <c r="T10" s="18">
        <f t="shared" si="4"/>
        <v>1.0319778020378456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47047.495999999999</v>
      </c>
      <c r="E11" s="13">
        <f>Reference!C153</f>
        <v>38.8932</v>
      </c>
      <c r="F11" s="13">
        <f>Reference!D153</f>
        <v>40.988799999999998</v>
      </c>
      <c r="G11" s="13">
        <f>Reference!E153</f>
        <v>41.248199999999997</v>
      </c>
      <c r="H11" s="13">
        <f>Reference!F153</f>
        <v>202433.15599999999</v>
      </c>
      <c r="I11" s="13">
        <f>Reference!G153</f>
        <v>18.376000000000001</v>
      </c>
      <c r="J11" s="14">
        <f t="shared" si="1"/>
        <v>56.231432222222217</v>
      </c>
      <c r="L11" s="12">
        <f>Test!B153</f>
        <v>0</v>
      </c>
      <c r="M11" s="13">
        <f>Test!C153</f>
        <v>0</v>
      </c>
      <c r="N11" s="13">
        <f>Test!D153</f>
        <v>0</v>
      </c>
      <c r="O11" s="13">
        <f>Test!E153</f>
        <v>0</v>
      </c>
      <c r="P11" s="13">
        <f>Test!F153</f>
        <v>0</v>
      </c>
      <c r="Q11" s="13">
        <f>Test!G153</f>
        <v>0</v>
      </c>
      <c r="R11" s="14">
        <f t="shared" si="2"/>
        <v>0</v>
      </c>
      <c r="S11" s="17">
        <f t="shared" si="3"/>
        <v>0</v>
      </c>
      <c r="T11" s="18">
        <f t="shared" si="4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Reference!B154</f>
        <v>23178.28</v>
      </c>
      <c r="E12" s="18">
        <f>Reference!C154</f>
        <v>37.517899999999997</v>
      </c>
      <c r="F12" s="18">
        <f>Reference!D154</f>
        <v>38.495699999999999</v>
      </c>
      <c r="G12" s="18">
        <f>Reference!E154</f>
        <v>39.785600000000002</v>
      </c>
      <c r="H12" s="18">
        <f>Reference!F154</f>
        <v>121186.20299999999</v>
      </c>
      <c r="I12" s="18">
        <f>Reference!G154</f>
        <v>15.826000000000001</v>
      </c>
      <c r="J12" s="19">
        <f t="shared" si="1"/>
        <v>33.662834166666663</v>
      </c>
      <c r="L12" s="17">
        <f>Test!B154</f>
        <v>23179.16</v>
      </c>
      <c r="M12" s="18">
        <f>Test!C154</f>
        <v>37.520699999999998</v>
      </c>
      <c r="N12" s="18">
        <f>Test!D154</f>
        <v>38.4985</v>
      </c>
      <c r="O12" s="18">
        <f>Test!E154</f>
        <v>39.794699999999999</v>
      </c>
      <c r="P12" s="18">
        <f>Test!F154</f>
        <v>111533.125</v>
      </c>
      <c r="Q12" s="18">
        <f>Test!G154</f>
        <v>16.571999999999999</v>
      </c>
      <c r="R12" s="19">
        <f t="shared" si="2"/>
        <v>30.981423611111111</v>
      </c>
      <c r="S12" s="17">
        <f t="shared" si="3"/>
        <v>0.9203450742655912</v>
      </c>
      <c r="T12" s="18">
        <f t="shared" si="4"/>
        <v>1.0471376216352837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12054.72</v>
      </c>
      <c r="E13" s="18">
        <f>Reference!C155</f>
        <v>35.950299999999999</v>
      </c>
      <c r="F13" s="18">
        <f>Reference!D155</f>
        <v>36.335799999999999</v>
      </c>
      <c r="G13" s="18">
        <f>Reference!E155</f>
        <v>38.345700000000001</v>
      </c>
      <c r="H13" s="18">
        <f>Reference!F155</f>
        <v>76582.366999999998</v>
      </c>
      <c r="I13" s="18">
        <f>Reference!G155</f>
        <v>14.382999999999999</v>
      </c>
      <c r="J13" s="19">
        <f t="shared" si="1"/>
        <v>21.272879722222221</v>
      </c>
      <c r="L13" s="17">
        <f>Test!B155</f>
        <v>12057.768</v>
      </c>
      <c r="M13" s="18">
        <f>Test!C155</f>
        <v>35.950400000000002</v>
      </c>
      <c r="N13" s="18">
        <f>Test!D155</f>
        <v>36.339700000000001</v>
      </c>
      <c r="O13" s="18">
        <f>Test!E155</f>
        <v>38.344000000000001</v>
      </c>
      <c r="P13" s="18">
        <f>Test!F155</f>
        <v>70395.366999999998</v>
      </c>
      <c r="Q13" s="18">
        <f>Test!G155</f>
        <v>14.884</v>
      </c>
      <c r="R13" s="19">
        <f t="shared" si="2"/>
        <v>19.554268611111112</v>
      </c>
      <c r="S13" s="17">
        <f t="shared" si="3"/>
        <v>0.91921116776137257</v>
      </c>
      <c r="T13" s="18">
        <f t="shared" si="4"/>
        <v>1.0348327887088926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5904.9520000000002</v>
      </c>
      <c r="E14" s="23">
        <f>Reference!C156</f>
        <v>34.032699999999998</v>
      </c>
      <c r="F14" s="23">
        <f>Reference!D156</f>
        <v>33.950000000000003</v>
      </c>
      <c r="G14" s="23">
        <f>Reference!E156</f>
        <v>36.668300000000002</v>
      </c>
      <c r="H14" s="23">
        <f>Reference!F156</f>
        <v>46972.777000000002</v>
      </c>
      <c r="I14" s="23">
        <f>Reference!G156</f>
        <v>12.804</v>
      </c>
      <c r="J14" s="24">
        <f t="shared" si="1"/>
        <v>13.047993611111112</v>
      </c>
      <c r="L14" s="22">
        <f>Test!B156</f>
        <v>5904.152</v>
      </c>
      <c r="M14" s="23">
        <f>Test!C156</f>
        <v>34.029299999999999</v>
      </c>
      <c r="N14" s="23">
        <f>Test!D156</f>
        <v>33.937100000000001</v>
      </c>
      <c r="O14" s="23">
        <f>Test!E156</f>
        <v>36.658499999999997</v>
      </c>
      <c r="P14" s="23">
        <f>Test!F156</f>
        <v>42651.464999999997</v>
      </c>
      <c r="Q14" s="23">
        <f>Test!G156</f>
        <v>13.635999999999999</v>
      </c>
      <c r="R14" s="24">
        <f t="shared" si="2"/>
        <v>11.847629166666666</v>
      </c>
      <c r="S14" s="17">
        <f t="shared" si="3"/>
        <v>0.90800390617740134</v>
      </c>
      <c r="T14" s="18">
        <f t="shared" si="4"/>
        <v>1.064979693845673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24581.792000000001</v>
      </c>
      <c r="E15" s="13">
        <f>Reference!C157</f>
        <v>37.510399999999997</v>
      </c>
      <c r="F15" s="13">
        <f>Reference!D157</f>
        <v>44.785899999999998</v>
      </c>
      <c r="G15" s="13">
        <f>Reference!E157</f>
        <v>42.483199999999997</v>
      </c>
      <c r="H15" s="13">
        <f>Reference!F157</f>
        <v>299286.06199999998</v>
      </c>
      <c r="I15" s="13">
        <f>Reference!G157</f>
        <v>29.736000000000001</v>
      </c>
      <c r="J15" s="14">
        <f>H15/3600</f>
        <v>83.135017222222217</v>
      </c>
      <c r="L15" s="12">
        <f>Test!B157</f>
        <v>0</v>
      </c>
      <c r="M15" s="13">
        <f>Test!C157</f>
        <v>0</v>
      </c>
      <c r="N15" s="13">
        <f>Test!D157</f>
        <v>0</v>
      </c>
      <c r="O15" s="13">
        <f>Test!E157</f>
        <v>0</v>
      </c>
      <c r="P15" s="13">
        <f>Test!F157</f>
        <v>0</v>
      </c>
      <c r="Q15" s="13">
        <f>Test!G157</f>
        <v>0</v>
      </c>
      <c r="R15" s="14">
        <f>P15/3600</f>
        <v>0</v>
      </c>
      <c r="S15" s="17">
        <f t="shared" si="3"/>
        <v>0</v>
      </c>
      <c r="T15" s="18">
        <f t="shared" si="4"/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Reference!B158</f>
        <v>10472.103999999999</v>
      </c>
      <c r="E16" s="18">
        <f>Reference!C158</f>
        <v>36.869500000000002</v>
      </c>
      <c r="F16" s="18">
        <f>Reference!D158</f>
        <v>44.0578</v>
      </c>
      <c r="G16" s="18">
        <f>Reference!E158</f>
        <v>41.6952</v>
      </c>
      <c r="H16" s="18">
        <f>Reference!F158</f>
        <v>159781.59400000001</v>
      </c>
      <c r="I16" s="18">
        <f>Reference!G158</f>
        <v>24.675000000000001</v>
      </c>
      <c r="J16" s="19">
        <f t="shared" ref="J16:J26" si="5">H16/3600</f>
        <v>44.383776111111118</v>
      </c>
      <c r="L16" s="17">
        <f>Test!B158</f>
        <v>0</v>
      </c>
      <c r="M16" s="18">
        <f>Test!C158</f>
        <v>0</v>
      </c>
      <c r="N16" s="18">
        <f>Test!D158</f>
        <v>0</v>
      </c>
      <c r="O16" s="18">
        <f>Test!E158</f>
        <v>0</v>
      </c>
      <c r="P16" s="18">
        <f>Test!F158</f>
        <v>0</v>
      </c>
      <c r="Q16" s="18">
        <f>Test!G158</f>
        <v>0</v>
      </c>
      <c r="R16" s="19">
        <f t="shared" ref="R16:R26" si="6">P16/3600</f>
        <v>0</v>
      </c>
      <c r="S16" s="17">
        <f t="shared" si="3"/>
        <v>0</v>
      </c>
      <c r="T16" s="18">
        <f t="shared" si="4"/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5249.4880000000003</v>
      </c>
      <c r="E17" s="18">
        <f>Reference!C159</f>
        <v>35.842199999999998</v>
      </c>
      <c r="F17" s="18">
        <f>Reference!D159</f>
        <v>43.006599999999999</v>
      </c>
      <c r="G17" s="18">
        <f>Reference!E159</f>
        <v>40.592700000000001</v>
      </c>
      <c r="H17" s="18">
        <f>Reference!F159</f>
        <v>89322.375</v>
      </c>
      <c r="I17" s="18">
        <f>Reference!G159</f>
        <v>21.31</v>
      </c>
      <c r="J17" s="19">
        <f t="shared" si="5"/>
        <v>24.811770833333334</v>
      </c>
      <c r="L17" s="17">
        <f>Test!B159</f>
        <v>5216.5839999999998</v>
      </c>
      <c r="M17" s="18">
        <f>Test!C159</f>
        <v>35.854500000000002</v>
      </c>
      <c r="N17" s="18">
        <f>Test!D159</f>
        <v>43.015000000000001</v>
      </c>
      <c r="O17" s="18">
        <f>Test!E159</f>
        <v>40.587499999999999</v>
      </c>
      <c r="P17" s="18">
        <f>Test!F159</f>
        <v>79749.766000000003</v>
      </c>
      <c r="Q17" s="18">
        <f>Test!G159</f>
        <v>22.172000000000001</v>
      </c>
      <c r="R17" s="19">
        <f t="shared" si="6"/>
        <v>22.152712777777779</v>
      </c>
      <c r="S17" s="17">
        <f t="shared" si="3"/>
        <v>0.89283078288054929</v>
      </c>
      <c r="T17" s="18">
        <f t="shared" si="4"/>
        <v>1.0404504927264195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2603.288</v>
      </c>
      <c r="E18" s="23">
        <f>Reference!C160</f>
        <v>34.252000000000002</v>
      </c>
      <c r="F18" s="23">
        <f>Reference!D160</f>
        <v>41.682400000000001</v>
      </c>
      <c r="G18" s="23">
        <f>Reference!E160</f>
        <v>39.417999999999999</v>
      </c>
      <c r="H18" s="23">
        <f>Reference!F160</f>
        <v>45799.862999999998</v>
      </c>
      <c r="I18" s="23">
        <f>Reference!G160</f>
        <v>16.716999999999999</v>
      </c>
      <c r="J18" s="24">
        <f t="shared" si="5"/>
        <v>12.722184166666667</v>
      </c>
      <c r="L18" s="22">
        <f>Test!B160</f>
        <v>2593.232</v>
      </c>
      <c r="M18" s="23">
        <f>Test!C160</f>
        <v>34.264600000000002</v>
      </c>
      <c r="N18" s="23">
        <f>Test!D160</f>
        <v>41.6995</v>
      </c>
      <c r="O18" s="23">
        <f>Test!E160</f>
        <v>39.395099999999999</v>
      </c>
      <c r="P18" s="23">
        <f>Test!F160</f>
        <v>39864.828000000001</v>
      </c>
      <c r="Q18" s="23">
        <f>Test!G160</f>
        <v>17.759</v>
      </c>
      <c r="R18" s="24">
        <f t="shared" si="6"/>
        <v>11.073563333333334</v>
      </c>
      <c r="S18" s="17">
        <f t="shared" si="3"/>
        <v>0.87041369534227653</v>
      </c>
      <c r="T18" s="18">
        <f t="shared" si="4"/>
        <v>1.0623317580905667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8286.7055999999993</v>
      </c>
      <c r="E19" s="13">
        <f>Reference!C161</f>
        <v>37.956000000000003</v>
      </c>
      <c r="F19" s="13">
        <f>Reference!D161</f>
        <v>39.539200000000001</v>
      </c>
      <c r="G19" s="13">
        <f>Reference!E161</f>
        <v>42.518599999999999</v>
      </c>
      <c r="H19" s="13">
        <f>Reference!F161</f>
        <v>333764.90600000002</v>
      </c>
      <c r="I19" s="13">
        <f>Reference!G161</f>
        <v>26.062999999999999</v>
      </c>
      <c r="J19" s="14">
        <f t="shared" si="5"/>
        <v>92.712473888888894</v>
      </c>
      <c r="L19" s="12">
        <f>Test!B161</f>
        <v>0</v>
      </c>
      <c r="M19" s="13">
        <f>Test!C161</f>
        <v>0</v>
      </c>
      <c r="N19" s="13">
        <f>Test!D161</f>
        <v>0</v>
      </c>
      <c r="O19" s="13">
        <f>Test!E161</f>
        <v>0</v>
      </c>
      <c r="P19" s="13">
        <f>Test!F161</f>
        <v>0</v>
      </c>
      <c r="Q19" s="13">
        <f>Test!G161</f>
        <v>0</v>
      </c>
      <c r="R19" s="14">
        <f t="shared" si="6"/>
        <v>0</v>
      </c>
      <c r="S19" s="12">
        <f t="shared" si="3"/>
        <v>0</v>
      </c>
      <c r="T19" s="13">
        <f t="shared" si="4"/>
        <v>0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3929.5632000000001</v>
      </c>
      <c r="E20" s="18">
        <f>Reference!C162</f>
        <v>36.596800000000002</v>
      </c>
      <c r="F20" s="18">
        <f>Reference!D162</f>
        <v>38.835500000000003</v>
      </c>
      <c r="G20" s="18">
        <f>Reference!E162</f>
        <v>41.304900000000004</v>
      </c>
      <c r="H20" s="18">
        <f>Reference!F162</f>
        <v>201672.81200000001</v>
      </c>
      <c r="I20" s="18">
        <f>Reference!G162</f>
        <v>22.567</v>
      </c>
      <c r="J20" s="19">
        <f t="shared" si="5"/>
        <v>56.020225555555555</v>
      </c>
      <c r="L20" s="17">
        <f>Test!B162</f>
        <v>0</v>
      </c>
      <c r="M20" s="18">
        <f>Test!C162</f>
        <v>0</v>
      </c>
      <c r="N20" s="18">
        <f>Test!D162</f>
        <v>0</v>
      </c>
      <c r="O20" s="18">
        <f>Test!E162</f>
        <v>0</v>
      </c>
      <c r="P20" s="18">
        <f>Test!F162</f>
        <v>0</v>
      </c>
      <c r="Q20" s="18">
        <f>Test!G162</f>
        <v>0</v>
      </c>
      <c r="R20" s="19">
        <f t="shared" si="6"/>
        <v>0</v>
      </c>
      <c r="S20" s="17">
        <f t="shared" si="3"/>
        <v>0</v>
      </c>
      <c r="T20" s="18">
        <f t="shared" si="4"/>
        <v>0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1926.9936</v>
      </c>
      <c r="E21" s="18">
        <f>Reference!C163</f>
        <v>34.761800000000001</v>
      </c>
      <c r="F21" s="18">
        <f>Reference!D163</f>
        <v>37.932299999999998</v>
      </c>
      <c r="G21" s="18">
        <f>Reference!E163</f>
        <v>39.7776</v>
      </c>
      <c r="H21" s="18">
        <f>Reference!F163</f>
        <v>124305.391</v>
      </c>
      <c r="I21" s="18">
        <f>Reference!G163</f>
        <v>19.536000000000001</v>
      </c>
      <c r="J21" s="19">
        <f t="shared" si="5"/>
        <v>34.529275277777778</v>
      </c>
      <c r="L21" s="17">
        <f>Test!B163</f>
        <v>1920.8416</v>
      </c>
      <c r="M21" s="18">
        <f>Test!C163</f>
        <v>34.773699999999998</v>
      </c>
      <c r="N21" s="18">
        <f>Test!D163</f>
        <v>37.941600000000001</v>
      </c>
      <c r="O21" s="18">
        <f>Test!E163</f>
        <v>39.782899999999998</v>
      </c>
      <c r="P21" s="18">
        <f>Test!F163</f>
        <v>112512.70299999999</v>
      </c>
      <c r="Q21" s="18">
        <f>Test!G163</f>
        <v>19.622</v>
      </c>
      <c r="R21" s="19">
        <f t="shared" si="6"/>
        <v>31.253528611111108</v>
      </c>
      <c r="S21" s="17">
        <f t="shared" si="3"/>
        <v>0.90513132290457132</v>
      </c>
      <c r="T21" s="18">
        <f t="shared" si="4"/>
        <v>1.0044021294021293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914.47680000000003</v>
      </c>
      <c r="E22" s="23">
        <f>Reference!C164</f>
        <v>32.429200000000002</v>
      </c>
      <c r="F22" s="23">
        <f>Reference!D164</f>
        <v>36.861199999999997</v>
      </c>
      <c r="G22" s="23">
        <f>Reference!E164</f>
        <v>38.122199999999999</v>
      </c>
      <c r="H22" s="23">
        <f>Reference!F164</f>
        <v>71742.851999999999</v>
      </c>
      <c r="I22" s="23">
        <f>Reference!G164</f>
        <v>16.707000000000001</v>
      </c>
      <c r="J22" s="24">
        <f t="shared" si="5"/>
        <v>19.928570000000001</v>
      </c>
      <c r="L22" s="22">
        <f>Test!B164</f>
        <v>910.79520000000002</v>
      </c>
      <c r="M22" s="23">
        <f>Test!C164</f>
        <v>32.440300000000001</v>
      </c>
      <c r="N22" s="23">
        <f>Test!D164</f>
        <v>36.847000000000001</v>
      </c>
      <c r="O22" s="23">
        <f>Test!E164</f>
        <v>38.143099999999997</v>
      </c>
      <c r="P22" s="23">
        <f>Test!F164</f>
        <v>65150.218999999997</v>
      </c>
      <c r="Q22" s="23">
        <f>Test!G164</f>
        <v>16.460999999999999</v>
      </c>
      <c r="R22" s="24">
        <f t="shared" si="6"/>
        <v>18.097283055555554</v>
      </c>
      <c r="S22" s="17">
        <f t="shared" si="3"/>
        <v>0.90810745856604635</v>
      </c>
      <c r="T22" s="18">
        <f t="shared" si="4"/>
        <v>0.98527563296821674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9529.5488000000005</v>
      </c>
      <c r="E23" s="13">
        <f>Reference!C165</f>
        <v>38.694400000000002</v>
      </c>
      <c r="F23" s="13">
        <f>Reference!D165</f>
        <v>43.490099999999998</v>
      </c>
      <c r="G23" s="13">
        <f>Reference!E165</f>
        <v>44.355699999999999</v>
      </c>
      <c r="H23" s="13">
        <f>Reference!F165</f>
        <v>359904.21899999998</v>
      </c>
      <c r="I23" s="13">
        <f>Reference!G165</f>
        <v>34.268999999999998</v>
      </c>
      <c r="J23" s="14">
        <f t="shared" si="5"/>
        <v>99.973394166666665</v>
      </c>
      <c r="L23" s="12">
        <f>Test!B165</f>
        <v>0</v>
      </c>
      <c r="M23" s="13">
        <f>Test!C165</f>
        <v>0</v>
      </c>
      <c r="N23" s="13">
        <f>Test!D165</f>
        <v>0</v>
      </c>
      <c r="O23" s="13">
        <f>Test!E165</f>
        <v>0</v>
      </c>
      <c r="P23" s="13">
        <f>Test!F165</f>
        <v>0</v>
      </c>
      <c r="Q23" s="13">
        <f>Test!G165</f>
        <v>0</v>
      </c>
      <c r="R23" s="14">
        <f t="shared" si="6"/>
        <v>0</v>
      </c>
      <c r="S23" s="17">
        <f t="shared" si="3"/>
        <v>0</v>
      </c>
      <c r="T23" s="18">
        <f t="shared" si="4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Reference!B166</f>
        <v>4876.9488000000001</v>
      </c>
      <c r="E24" s="18">
        <f>Reference!C166</f>
        <v>37.4604</v>
      </c>
      <c r="F24" s="18">
        <f>Reference!D166</f>
        <v>42.4861</v>
      </c>
      <c r="G24" s="18">
        <f>Reference!E166</f>
        <v>42.842399999999998</v>
      </c>
      <c r="H24" s="18">
        <f>Reference!F166</f>
        <v>222579.32800000001</v>
      </c>
      <c r="I24" s="18">
        <f>Reference!G166</f>
        <v>30.79</v>
      </c>
      <c r="J24" s="19">
        <f t="shared" si="5"/>
        <v>61.827591111111111</v>
      </c>
      <c r="L24" s="17">
        <f>Test!B166</f>
        <v>0</v>
      </c>
      <c r="M24" s="18">
        <f>Test!C166</f>
        <v>0</v>
      </c>
      <c r="N24" s="18">
        <f>Test!D166</f>
        <v>0</v>
      </c>
      <c r="O24" s="18">
        <f>Test!E166</f>
        <v>0</v>
      </c>
      <c r="P24" s="18">
        <f>Test!F166</f>
        <v>0</v>
      </c>
      <c r="Q24" s="18">
        <f>Test!G166</f>
        <v>0</v>
      </c>
      <c r="R24" s="19">
        <f t="shared" si="6"/>
        <v>0</v>
      </c>
      <c r="S24" s="17">
        <f t="shared" si="3"/>
        <v>0</v>
      </c>
      <c r="T24" s="18">
        <f t="shared" si="4"/>
        <v>0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2483.9184</v>
      </c>
      <c r="E25" s="18">
        <f>Reference!C167</f>
        <v>35.772500000000001</v>
      </c>
      <c r="F25" s="18">
        <f>Reference!D167</f>
        <v>41.168399999999998</v>
      </c>
      <c r="G25" s="18">
        <f>Reference!E167</f>
        <v>41.037799999999997</v>
      </c>
      <c r="H25" s="18">
        <f>Reference!F167</f>
        <v>132665.766</v>
      </c>
      <c r="I25" s="18">
        <f>Reference!G167</f>
        <v>26.31</v>
      </c>
      <c r="J25" s="19">
        <f t="shared" si="5"/>
        <v>36.851601666666667</v>
      </c>
      <c r="L25" s="17">
        <f>Test!B167</f>
        <v>2476.7536</v>
      </c>
      <c r="M25" s="18">
        <f>Test!C167</f>
        <v>35.792400000000001</v>
      </c>
      <c r="N25" s="18">
        <f>Test!D167</f>
        <v>41.178199999999997</v>
      </c>
      <c r="O25" s="18">
        <f>Test!E167</f>
        <v>41.060400000000001</v>
      </c>
      <c r="P25" s="18">
        <f>Test!F167</f>
        <v>121043.844</v>
      </c>
      <c r="Q25" s="18">
        <f>Test!G167</f>
        <v>27.443000000000001</v>
      </c>
      <c r="R25" s="19">
        <f t="shared" si="6"/>
        <v>33.623289999999997</v>
      </c>
      <c r="S25" s="17">
        <f t="shared" si="3"/>
        <v>0.91239697813224852</v>
      </c>
      <c r="T25" s="18">
        <f t="shared" si="4"/>
        <v>1.0430634739642723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1231.9359999999999</v>
      </c>
      <c r="E26" s="23">
        <f>Reference!C168</f>
        <v>33.692399999999999</v>
      </c>
      <c r="F26" s="23">
        <f>Reference!D168</f>
        <v>39.7911</v>
      </c>
      <c r="G26" s="23">
        <f>Reference!E168</f>
        <v>39.183399999999999</v>
      </c>
      <c r="H26" s="23">
        <f>Reference!F168</f>
        <v>76058.866999999998</v>
      </c>
      <c r="I26" s="23">
        <f>Reference!G168</f>
        <v>22.954000000000001</v>
      </c>
      <c r="J26" s="24">
        <f t="shared" si="5"/>
        <v>21.127463055555555</v>
      </c>
      <c r="L26" s="22">
        <f>Test!B168</f>
        <v>1228.152</v>
      </c>
      <c r="M26" s="23">
        <f>Test!C168</f>
        <v>33.708500000000001</v>
      </c>
      <c r="N26" s="23">
        <f>Test!D168</f>
        <v>39.783700000000003</v>
      </c>
      <c r="O26" s="23">
        <f>Test!E168</f>
        <v>39.192999999999998</v>
      </c>
      <c r="P26" s="23">
        <f>Test!F168</f>
        <v>68557.327999999994</v>
      </c>
      <c r="Q26" s="23">
        <f>Test!G168</f>
        <v>23.184000000000001</v>
      </c>
      <c r="R26" s="24">
        <f t="shared" si="6"/>
        <v>19.043702222222219</v>
      </c>
      <c r="S26" s="17">
        <f t="shared" si="3"/>
        <v>0.90137193339995447</v>
      </c>
      <c r="T26" s="18">
        <f t="shared" si="4"/>
        <v>1.0100200400801604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6533.2079999999996</v>
      </c>
      <c r="E27" s="13">
        <f>Reference!C169</f>
        <v>39.7879</v>
      </c>
      <c r="F27" s="13">
        <f>Reference!D169</f>
        <v>43.439799999999998</v>
      </c>
      <c r="G27" s="13">
        <f>Reference!E169</f>
        <v>44.282699999999998</v>
      </c>
      <c r="H27" s="13">
        <f>Reference!F169</f>
        <v>314954.75</v>
      </c>
      <c r="I27" s="13">
        <f>Reference!G169</f>
        <v>36.073</v>
      </c>
      <c r="J27" s="14">
        <f>H27/3600</f>
        <v>87.487430555555562</v>
      </c>
      <c r="L27" s="12">
        <f>Test!B169</f>
        <v>0</v>
      </c>
      <c r="M27" s="13">
        <f>Test!C169</f>
        <v>0</v>
      </c>
      <c r="N27" s="13">
        <f>Test!D169</f>
        <v>0</v>
      </c>
      <c r="O27" s="13">
        <f>Test!E169</f>
        <v>0</v>
      </c>
      <c r="P27" s="13">
        <f>Test!F169</f>
        <v>0</v>
      </c>
      <c r="Q27" s="13">
        <f>Test!G169</f>
        <v>0</v>
      </c>
      <c r="R27" s="14">
        <f>P27/3600</f>
        <v>0</v>
      </c>
      <c r="S27" s="17">
        <f t="shared" ref="S27:T46" si="7">P27/H27</f>
        <v>0</v>
      </c>
      <c r="T27" s="18">
        <f t="shared" si="7"/>
        <v>0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Reference!B170</f>
        <v>3117.8303999999998</v>
      </c>
      <c r="E28" s="18">
        <f>Reference!C170</f>
        <v>38.489899999999999</v>
      </c>
      <c r="F28" s="18">
        <f>Reference!D170</f>
        <v>42.522100000000002</v>
      </c>
      <c r="G28" s="18">
        <f>Reference!E170</f>
        <v>43.353400000000001</v>
      </c>
      <c r="H28" s="18">
        <f>Reference!F170</f>
        <v>188536.359</v>
      </c>
      <c r="I28" s="18">
        <f>Reference!G170</f>
        <v>29.754999999999999</v>
      </c>
      <c r="J28" s="19">
        <f t="shared" ref="J28:J46" si="8">H28/3600</f>
        <v>52.371210833333329</v>
      </c>
      <c r="L28" s="17">
        <f>Test!B170</f>
        <v>0</v>
      </c>
      <c r="M28" s="18">
        <f>Test!C170</f>
        <v>0</v>
      </c>
      <c r="N28" s="18">
        <f>Test!D170</f>
        <v>0</v>
      </c>
      <c r="O28" s="18">
        <f>Test!E170</f>
        <v>0</v>
      </c>
      <c r="P28" s="18">
        <f>Test!F170</f>
        <v>0</v>
      </c>
      <c r="Q28" s="18">
        <f>Test!G170</f>
        <v>0</v>
      </c>
      <c r="R28" s="19">
        <f t="shared" ref="R28:R46" si="9">P28/3600</f>
        <v>0</v>
      </c>
      <c r="S28" s="17">
        <f t="shared" si="7"/>
        <v>0</v>
      </c>
      <c r="T28" s="18">
        <f t="shared" si="7"/>
        <v>0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1502.336</v>
      </c>
      <c r="E29" s="18">
        <f>Reference!C171</f>
        <v>36.678899999999999</v>
      </c>
      <c r="F29" s="18">
        <f>Reference!D171</f>
        <v>41.314300000000003</v>
      </c>
      <c r="G29" s="18">
        <f>Reference!E171</f>
        <v>41.987400000000001</v>
      </c>
      <c r="H29" s="18">
        <f>Reference!F171</f>
        <v>108469.727</v>
      </c>
      <c r="I29" s="18">
        <f>Reference!G171</f>
        <v>26.861999999999998</v>
      </c>
      <c r="J29" s="19">
        <f t="shared" si="8"/>
        <v>30.130479722222223</v>
      </c>
      <c r="L29" s="17">
        <f>Test!B171</f>
        <v>1498.9151999999999</v>
      </c>
      <c r="M29" s="18">
        <f>Test!C171</f>
        <v>36.689500000000002</v>
      </c>
      <c r="N29" s="18">
        <f>Test!D171</f>
        <v>41.300899999999999</v>
      </c>
      <c r="O29" s="18">
        <f>Test!E171</f>
        <v>41.998100000000001</v>
      </c>
      <c r="P29" s="18">
        <f>Test!F171</f>
        <v>96464.375</v>
      </c>
      <c r="Q29" s="18">
        <f>Test!G171</f>
        <v>27.398</v>
      </c>
      <c r="R29" s="19">
        <f t="shared" si="9"/>
        <v>26.795659722222222</v>
      </c>
      <c r="S29" s="17">
        <f t="shared" si="7"/>
        <v>0.88932071341896157</v>
      </c>
      <c r="T29" s="18">
        <f t="shared" si="7"/>
        <v>1.0199538381356563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704.23839999999996</v>
      </c>
      <c r="E30" s="23">
        <f>Reference!C172</f>
        <v>34.3949</v>
      </c>
      <c r="F30" s="23">
        <f>Reference!D172</f>
        <v>40.1631</v>
      </c>
      <c r="G30" s="23">
        <f>Reference!E172</f>
        <v>40.681199999999997</v>
      </c>
      <c r="H30" s="23">
        <f>Reference!F172</f>
        <v>58521.684000000001</v>
      </c>
      <c r="I30" s="23">
        <f>Reference!G172</f>
        <v>22.573</v>
      </c>
      <c r="J30" s="24">
        <f t="shared" si="8"/>
        <v>16.256023333333335</v>
      </c>
      <c r="L30" s="22">
        <f>Test!B172</f>
        <v>703.84159999999997</v>
      </c>
      <c r="M30" s="23">
        <f>Test!C172</f>
        <v>34.394399999999997</v>
      </c>
      <c r="N30" s="23">
        <f>Test!D172</f>
        <v>40.152900000000002</v>
      </c>
      <c r="O30" s="23">
        <f>Test!E172</f>
        <v>40.6661</v>
      </c>
      <c r="P30" s="23">
        <f>Test!F172</f>
        <v>51744.211000000003</v>
      </c>
      <c r="Q30" s="23">
        <f>Test!G172</f>
        <v>21.925999999999998</v>
      </c>
      <c r="R30" s="24">
        <f t="shared" si="9"/>
        <v>14.373391944444446</v>
      </c>
      <c r="S30" s="17">
        <f t="shared" si="7"/>
        <v>0.88418868807671358</v>
      </c>
      <c r="T30" s="18">
        <f t="shared" si="7"/>
        <v>0.97133743853276033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6955.0496000000003</v>
      </c>
      <c r="E31" s="13">
        <f>Reference!C173</f>
        <v>43.311999999999998</v>
      </c>
      <c r="F31" s="13">
        <f>Reference!D173</f>
        <v>46.081600000000002</v>
      </c>
      <c r="G31" s="13">
        <f>Reference!E173</f>
        <v>46.798499999999997</v>
      </c>
      <c r="H31" s="13">
        <f>Reference!F173</f>
        <v>260896.859</v>
      </c>
      <c r="I31" s="13">
        <f>Reference!G173</f>
        <v>37.683</v>
      </c>
      <c r="J31" s="14">
        <f t="shared" si="8"/>
        <v>72.471349722222214</v>
      </c>
      <c r="L31" s="12">
        <f>Test!B173</f>
        <v>0</v>
      </c>
      <c r="M31" s="13">
        <f>Test!C173</f>
        <v>0</v>
      </c>
      <c r="N31" s="13">
        <f>Test!D173</f>
        <v>0</v>
      </c>
      <c r="O31" s="13">
        <f>Test!E173</f>
        <v>0</v>
      </c>
      <c r="P31" s="13">
        <f>Test!F173</f>
        <v>0</v>
      </c>
      <c r="Q31" s="13">
        <f>Test!G173</f>
        <v>0</v>
      </c>
      <c r="R31" s="14">
        <f t="shared" si="9"/>
        <v>0</v>
      </c>
      <c r="S31" s="17">
        <f t="shared" si="7"/>
        <v>0</v>
      </c>
      <c r="T31" s="18">
        <f t="shared" si="7"/>
        <v>0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Reference!B174</f>
        <v>4243.3184000000001</v>
      </c>
      <c r="E32" s="18">
        <f>Reference!C174</f>
        <v>41.000700000000002</v>
      </c>
      <c r="F32" s="18">
        <f>Reference!D174</f>
        <v>44.598700000000001</v>
      </c>
      <c r="G32" s="18">
        <f>Reference!E174</f>
        <v>45.148800000000001</v>
      </c>
      <c r="H32" s="18">
        <f>Reference!F174</f>
        <v>186142.31200000001</v>
      </c>
      <c r="I32" s="18">
        <f>Reference!G174</f>
        <v>33.902000000000001</v>
      </c>
      <c r="J32" s="19">
        <f t="shared" si="8"/>
        <v>51.706197777777781</v>
      </c>
      <c r="L32" s="17">
        <f>Test!B174</f>
        <v>0</v>
      </c>
      <c r="M32" s="18">
        <f>Test!C174</f>
        <v>0</v>
      </c>
      <c r="N32" s="18">
        <f>Test!D174</f>
        <v>0</v>
      </c>
      <c r="O32" s="18">
        <f>Test!E174</f>
        <v>0</v>
      </c>
      <c r="P32" s="18">
        <f>Test!F174</f>
        <v>0</v>
      </c>
      <c r="Q32" s="18">
        <f>Test!G174</f>
        <v>0</v>
      </c>
      <c r="R32" s="19">
        <f t="shared" si="9"/>
        <v>0</v>
      </c>
      <c r="S32" s="17">
        <f t="shared" si="7"/>
        <v>0</v>
      </c>
      <c r="T32" s="18">
        <f t="shared" si="7"/>
        <v>0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2344.9856</v>
      </c>
      <c r="E33" s="18">
        <f>Reference!C175</f>
        <v>38.218000000000004</v>
      </c>
      <c r="F33" s="18">
        <f>Reference!D175</f>
        <v>42.956299999999999</v>
      </c>
      <c r="G33" s="18">
        <f>Reference!E175</f>
        <v>43.301499999999997</v>
      </c>
      <c r="H33" s="18">
        <f>Reference!F175</f>
        <v>120712.398</v>
      </c>
      <c r="I33" s="18">
        <f>Reference!G175</f>
        <v>29.341999999999999</v>
      </c>
      <c r="J33" s="19">
        <f t="shared" si="8"/>
        <v>33.531221666666667</v>
      </c>
      <c r="L33" s="17">
        <f>Test!B175</f>
        <v>2334.9023999999999</v>
      </c>
      <c r="M33" s="18">
        <f>Test!C175</f>
        <v>38.224699999999999</v>
      </c>
      <c r="N33" s="18">
        <f>Test!D175</f>
        <v>42.9664</v>
      </c>
      <c r="O33" s="18">
        <f>Test!E175</f>
        <v>43.298000000000002</v>
      </c>
      <c r="P33" s="18">
        <f>Test!F175</f>
        <v>107804.344</v>
      </c>
      <c r="Q33" s="18">
        <f>Test!G175</f>
        <v>29.652999999999999</v>
      </c>
      <c r="R33" s="19">
        <f t="shared" si="9"/>
        <v>29.945651111111111</v>
      </c>
      <c r="S33" s="17">
        <f t="shared" si="7"/>
        <v>0.89306770295458793</v>
      </c>
      <c r="T33" s="18">
        <f t="shared" si="7"/>
        <v>1.0105991411628383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1218.3136</v>
      </c>
      <c r="E34" s="23">
        <f>Reference!C176</f>
        <v>35.284399999999998</v>
      </c>
      <c r="F34" s="23">
        <f>Reference!D176</f>
        <v>41.489600000000003</v>
      </c>
      <c r="G34" s="23">
        <f>Reference!E176</f>
        <v>41.579300000000003</v>
      </c>
      <c r="H34" s="23">
        <f>Reference!F176</f>
        <v>71856.125</v>
      </c>
      <c r="I34" s="23">
        <f>Reference!G176</f>
        <v>25.169</v>
      </c>
      <c r="J34" s="24">
        <f t="shared" si="8"/>
        <v>19.960034722222222</v>
      </c>
      <c r="L34" s="22">
        <f>Test!B176</f>
        <v>1215.3312000000001</v>
      </c>
      <c r="M34" s="23">
        <f>Test!C176</f>
        <v>35.293399999999998</v>
      </c>
      <c r="N34" s="23">
        <f>Test!D176</f>
        <v>41.494900000000001</v>
      </c>
      <c r="O34" s="23">
        <f>Test!E176</f>
        <v>41.563699999999997</v>
      </c>
      <c r="P34" s="23">
        <f>Test!F176</f>
        <v>64491.461000000003</v>
      </c>
      <c r="Q34" s="23">
        <f>Test!G176</f>
        <v>24.786999999999999</v>
      </c>
      <c r="R34" s="24">
        <f t="shared" si="9"/>
        <v>17.914294722222223</v>
      </c>
      <c r="S34" s="17">
        <f t="shared" si="7"/>
        <v>0.8975081943258143</v>
      </c>
      <c r="T34" s="18">
        <f t="shared" si="7"/>
        <v>0.98482259922921045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4816.2160000000003</v>
      </c>
      <c r="E35" s="13">
        <f>Reference!C177</f>
        <v>38.3842</v>
      </c>
      <c r="F35" s="13">
        <f>Reference!D177</f>
        <v>44.988</v>
      </c>
      <c r="G35" s="13">
        <f>Reference!E177</f>
        <v>45.284399999999998</v>
      </c>
      <c r="H35" s="13">
        <f>Reference!F177</f>
        <v>175000.84400000001</v>
      </c>
      <c r="I35" s="13">
        <f>Reference!G177</f>
        <v>16.268000000000001</v>
      </c>
      <c r="J35" s="14">
        <f t="shared" si="8"/>
        <v>48.611345555555559</v>
      </c>
      <c r="L35" s="12">
        <f>Test!B177</f>
        <v>0</v>
      </c>
      <c r="M35" s="13">
        <f>Test!C177</f>
        <v>0</v>
      </c>
      <c r="N35" s="13">
        <f>Test!D177</f>
        <v>0</v>
      </c>
      <c r="O35" s="13">
        <f>Test!E177</f>
        <v>0</v>
      </c>
      <c r="P35" s="13">
        <f>Test!F177</f>
        <v>0</v>
      </c>
      <c r="Q35" s="13">
        <f>Test!G177</f>
        <v>0</v>
      </c>
      <c r="R35" s="14">
        <f t="shared" si="9"/>
        <v>0</v>
      </c>
      <c r="S35" s="12">
        <f t="shared" si="7"/>
        <v>0</v>
      </c>
      <c r="T35" s="13">
        <f t="shared" si="7"/>
        <v>0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1687.3856000000001</v>
      </c>
      <c r="E36" s="18">
        <f>Reference!C178</f>
        <v>36.392600000000002</v>
      </c>
      <c r="F36" s="18">
        <f>Reference!D178</f>
        <v>43.793900000000001</v>
      </c>
      <c r="G36" s="18">
        <f>Reference!E178</f>
        <v>44.099499999999999</v>
      </c>
      <c r="H36" s="18">
        <f>Reference!F178</f>
        <v>90814.148000000001</v>
      </c>
      <c r="I36" s="18">
        <f>Reference!G178</f>
        <v>12.185</v>
      </c>
      <c r="J36" s="19">
        <f t="shared" si="8"/>
        <v>25.226152222222222</v>
      </c>
      <c r="L36" s="17">
        <f>Test!B178</f>
        <v>1677.4480000000001</v>
      </c>
      <c r="M36" s="18">
        <f>Test!C178</f>
        <v>36.436399999999999</v>
      </c>
      <c r="N36" s="18">
        <f>Test!D178</f>
        <v>43.790799999999997</v>
      </c>
      <c r="O36" s="18">
        <f>Test!E178</f>
        <v>44.095700000000001</v>
      </c>
      <c r="P36" s="18">
        <f>Test!F178</f>
        <v>85448.054999999993</v>
      </c>
      <c r="Q36" s="18">
        <f>Test!G178</f>
        <v>13.468999999999999</v>
      </c>
      <c r="R36" s="19">
        <f t="shared" si="9"/>
        <v>23.73557083333333</v>
      </c>
      <c r="S36" s="17">
        <f t="shared" si="7"/>
        <v>0.9409112663810929</v>
      </c>
      <c r="T36" s="18">
        <f t="shared" si="7"/>
        <v>1.1053754616331555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661.7088</v>
      </c>
      <c r="E37" s="18">
        <f>Reference!C179</f>
        <v>33.935200000000002</v>
      </c>
      <c r="F37" s="18">
        <f>Reference!D179</f>
        <v>42.139699999999998</v>
      </c>
      <c r="G37" s="18">
        <f>Reference!E179</f>
        <v>42.516300000000001</v>
      </c>
      <c r="H37" s="18">
        <f>Reference!F179</f>
        <v>52990.633000000002</v>
      </c>
      <c r="I37" s="18">
        <f>Reference!G179</f>
        <v>9.7059999999999995</v>
      </c>
      <c r="J37" s="19">
        <f t="shared" si="8"/>
        <v>14.719620277777778</v>
      </c>
      <c r="L37" s="17">
        <f>Test!B179</f>
        <v>659.15520000000004</v>
      </c>
      <c r="M37" s="18">
        <f>Test!C179</f>
        <v>33.984400000000001</v>
      </c>
      <c r="N37" s="18">
        <f>Test!D179</f>
        <v>42.138599999999997</v>
      </c>
      <c r="O37" s="18">
        <f>Test!E179</f>
        <v>42.463299999999997</v>
      </c>
      <c r="P37" s="18">
        <f>Test!F179</f>
        <v>48867.461000000003</v>
      </c>
      <c r="Q37" s="18">
        <f>Test!G179</f>
        <v>9.7539999999999996</v>
      </c>
      <c r="R37" s="19">
        <f t="shared" si="9"/>
        <v>13.574294722222223</v>
      </c>
      <c r="S37" s="17">
        <f t="shared" si="7"/>
        <v>0.92219055016761176</v>
      </c>
      <c r="T37" s="18">
        <f t="shared" si="7"/>
        <v>1.0049453946012776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275.27999999999997</v>
      </c>
      <c r="E38" s="23">
        <f>Reference!C180</f>
        <v>30.915099999999999</v>
      </c>
      <c r="F38" s="23">
        <f>Reference!D180</f>
        <v>40.866199999999999</v>
      </c>
      <c r="G38" s="23">
        <f>Reference!E180</f>
        <v>41.386600000000001</v>
      </c>
      <c r="H38" s="23">
        <f>Reference!F180</f>
        <v>31665.546999999999</v>
      </c>
      <c r="I38" s="23">
        <f>Reference!G180</f>
        <v>6.8659999999999997</v>
      </c>
      <c r="J38" s="24">
        <f t="shared" si="8"/>
        <v>8.7959852777777776</v>
      </c>
      <c r="L38" s="22">
        <f>Test!B180</f>
        <v>276.43360000000001</v>
      </c>
      <c r="M38" s="23">
        <f>Test!C180</f>
        <v>30.956800000000001</v>
      </c>
      <c r="N38" s="23">
        <f>Test!D180</f>
        <v>40.897500000000001</v>
      </c>
      <c r="O38" s="23">
        <f>Test!E180</f>
        <v>41.325699999999998</v>
      </c>
      <c r="P38" s="23">
        <f>Test!F180</f>
        <v>29194.437999999998</v>
      </c>
      <c r="Q38" s="23">
        <f>Test!G180</f>
        <v>7.2539999999999996</v>
      </c>
      <c r="R38" s="24">
        <f t="shared" si="9"/>
        <v>8.1095661111111106</v>
      </c>
      <c r="S38" s="17">
        <f t="shared" si="7"/>
        <v>0.92196221969574688</v>
      </c>
      <c r="T38" s="18">
        <f t="shared" si="7"/>
        <v>1.0565103408097873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3925.9967999999999</v>
      </c>
      <c r="E39" s="13">
        <f>Reference!C181</f>
        <v>40.478099999999998</v>
      </c>
      <c r="F39" s="13">
        <f>Reference!D181</f>
        <v>45.1676</v>
      </c>
      <c r="G39" s="13">
        <f>Reference!E181</f>
        <v>45.920400000000001</v>
      </c>
      <c r="H39" s="13">
        <f>Reference!F181</f>
        <v>155299.891</v>
      </c>
      <c r="I39" s="13">
        <f>Reference!G181</f>
        <v>17.542000000000002</v>
      </c>
      <c r="J39" s="14">
        <f t="shared" si="8"/>
        <v>43.138858611111111</v>
      </c>
      <c r="L39" s="12">
        <f>Test!B181</f>
        <v>0</v>
      </c>
      <c r="M39" s="13">
        <f>Test!C181</f>
        <v>0</v>
      </c>
      <c r="N39" s="13">
        <f>Test!D181</f>
        <v>0</v>
      </c>
      <c r="O39" s="13">
        <f>Test!E181</f>
        <v>0</v>
      </c>
      <c r="P39" s="13">
        <f>Test!F181</f>
        <v>0</v>
      </c>
      <c r="Q39" s="13">
        <f>Test!G181</f>
        <v>0</v>
      </c>
      <c r="R39" s="14">
        <f t="shared" si="9"/>
        <v>0</v>
      </c>
      <c r="S39" s="17">
        <f t="shared" si="7"/>
        <v>0</v>
      </c>
      <c r="T39" s="18">
        <f t="shared" si="7"/>
        <v>0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Reference!B182</f>
        <v>1803.7472</v>
      </c>
      <c r="E40" s="18">
        <f>Reference!C182</f>
        <v>38.856000000000002</v>
      </c>
      <c r="F40" s="18">
        <f>Reference!D182</f>
        <v>44.33</v>
      </c>
      <c r="G40" s="18">
        <f>Reference!E182</f>
        <v>44.375100000000003</v>
      </c>
      <c r="H40" s="18">
        <f>Reference!F182</f>
        <v>91280.320000000007</v>
      </c>
      <c r="I40" s="18">
        <f>Reference!G182</f>
        <v>15.023999999999999</v>
      </c>
      <c r="J40" s="19">
        <f t="shared" si="8"/>
        <v>25.355644444444447</v>
      </c>
      <c r="L40" s="17">
        <f>Test!B182</f>
        <v>1796.6815999999999</v>
      </c>
      <c r="M40" s="18">
        <f>Test!C182</f>
        <v>38.8658</v>
      </c>
      <c r="N40" s="18">
        <f>Test!D182</f>
        <v>44.351500000000001</v>
      </c>
      <c r="O40" s="18">
        <f>Test!E182</f>
        <v>44.365699999999997</v>
      </c>
      <c r="P40" s="18">
        <f>Test!F182</f>
        <v>84338.304999999993</v>
      </c>
      <c r="Q40" s="18">
        <f>Test!G182</f>
        <v>15.752000000000001</v>
      </c>
      <c r="R40" s="19">
        <f t="shared" si="9"/>
        <v>23.427306944444442</v>
      </c>
      <c r="S40" s="17">
        <f t="shared" si="7"/>
        <v>0.92394839325716638</v>
      </c>
      <c r="T40" s="18">
        <f t="shared" si="7"/>
        <v>1.0484558040468586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864.5616</v>
      </c>
      <c r="E41" s="18">
        <f>Reference!C183</f>
        <v>36.9178</v>
      </c>
      <c r="F41" s="18">
        <f>Reference!D183</f>
        <v>43.274000000000001</v>
      </c>
      <c r="G41" s="18">
        <f>Reference!E183</f>
        <v>42.559899999999999</v>
      </c>
      <c r="H41" s="18">
        <f>Reference!F183</f>
        <v>51999.391000000003</v>
      </c>
      <c r="I41" s="18">
        <f>Reference!G183</f>
        <v>12.254</v>
      </c>
      <c r="J41" s="19">
        <f t="shared" si="8"/>
        <v>14.444275277777779</v>
      </c>
      <c r="L41" s="17">
        <f>Test!B183</f>
        <v>861.52319999999997</v>
      </c>
      <c r="M41" s="18">
        <f>Test!C183</f>
        <v>36.928899999999999</v>
      </c>
      <c r="N41" s="18">
        <f>Test!D183</f>
        <v>43.293799999999997</v>
      </c>
      <c r="O41" s="18">
        <f>Test!E183</f>
        <v>42.518799999999999</v>
      </c>
      <c r="P41" s="18">
        <f>Test!F183</f>
        <v>47672.362999999998</v>
      </c>
      <c r="Q41" s="18">
        <f>Test!G183</f>
        <v>12.662000000000001</v>
      </c>
      <c r="R41" s="19">
        <f t="shared" si="9"/>
        <v>13.242323055555556</v>
      </c>
      <c r="S41" s="17">
        <f t="shared" si="7"/>
        <v>0.91678694852407006</v>
      </c>
      <c r="T41" s="18">
        <f t="shared" si="7"/>
        <v>1.0332952505304391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403.11840000000001</v>
      </c>
      <c r="E42" s="23">
        <f>Reference!C184</f>
        <v>34.698700000000002</v>
      </c>
      <c r="F42" s="23">
        <f>Reference!D184</f>
        <v>42.002800000000001</v>
      </c>
      <c r="G42" s="23">
        <f>Reference!E184</f>
        <v>40.630800000000001</v>
      </c>
      <c r="H42" s="23">
        <f>Reference!F184</f>
        <v>27909.807000000001</v>
      </c>
      <c r="I42" s="23">
        <f>Reference!G184</f>
        <v>8.7910000000000004</v>
      </c>
      <c r="J42" s="24">
        <f t="shared" si="8"/>
        <v>7.7527241666666669</v>
      </c>
      <c r="L42" s="22">
        <f>Test!B184</f>
        <v>403.68799999999999</v>
      </c>
      <c r="M42" s="23">
        <f>Test!C184</f>
        <v>34.716700000000003</v>
      </c>
      <c r="N42" s="23">
        <f>Test!D184</f>
        <v>42.020099999999999</v>
      </c>
      <c r="O42" s="23">
        <f>Test!E184</f>
        <v>40.642099999999999</v>
      </c>
      <c r="P42" s="23">
        <f>Test!F184</f>
        <v>25391.268</v>
      </c>
      <c r="Q42" s="23">
        <f>Test!G184</f>
        <v>9.0069999999999997</v>
      </c>
      <c r="R42" s="24">
        <f t="shared" si="9"/>
        <v>7.0531300000000003</v>
      </c>
      <c r="S42" s="17">
        <f t="shared" si="7"/>
        <v>0.90976150426264146</v>
      </c>
      <c r="T42" s="18">
        <f t="shared" si="7"/>
        <v>1.0245705835513592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969.77120000000002</v>
      </c>
      <c r="E43" s="13">
        <f>Reference!C185</f>
        <v>42.927100000000003</v>
      </c>
      <c r="F43" s="13">
        <f>Reference!D185</f>
        <v>46.490299999999998</v>
      </c>
      <c r="G43" s="13">
        <f>Reference!E185</f>
        <v>47.2607</v>
      </c>
      <c r="H43" s="13">
        <f>Reference!F185</f>
        <v>60241.031000000003</v>
      </c>
      <c r="I43" s="13">
        <f>Reference!G185</f>
        <v>8.4740000000000002</v>
      </c>
      <c r="J43" s="14">
        <f t="shared" si="8"/>
        <v>16.733619722222222</v>
      </c>
      <c r="L43" s="12">
        <f>Test!B185</f>
        <v>969.08</v>
      </c>
      <c r="M43" s="13">
        <f>Test!C185</f>
        <v>42.946100000000001</v>
      </c>
      <c r="N43" s="13">
        <f>Test!D185</f>
        <v>46.5152</v>
      </c>
      <c r="O43" s="13">
        <f>Test!E185</f>
        <v>47.292499999999997</v>
      </c>
      <c r="P43" s="13">
        <f>Test!F185</f>
        <v>56499.957000000002</v>
      </c>
      <c r="Q43" s="13">
        <f>Test!G185</f>
        <v>8.7720000000000002</v>
      </c>
      <c r="R43" s="14">
        <f t="shared" si="9"/>
        <v>15.694432500000001</v>
      </c>
      <c r="S43" s="17">
        <f t="shared" si="7"/>
        <v>0.93789824081862083</v>
      </c>
      <c r="T43" s="18">
        <f t="shared" si="7"/>
        <v>1.0351663913146094</v>
      </c>
      <c r="U43" s="91"/>
      <c r="V43" s="37">
        <f>bdrate($D43:$D46,E43:E46,$L43:$L46,M43:M46)</f>
        <v>-9.0202136690376022E-3</v>
      </c>
      <c r="W43" s="42">
        <f>bdrate($D43:$D46,F43:F46,$L43:$L46,N43:N46)</f>
        <v>5.4405891472346646E-3</v>
      </c>
      <c r="X43" s="42">
        <f>bdrate($D43:$D46,G43:G46,$L43:$L46,O43:O46)</f>
        <v>-1.4940116531386383E-2</v>
      </c>
      <c r="Y43" s="40">
        <f>bdrateOld($D43:$D46,E43:E46,$L43:$L46,M43:M46)</f>
        <v>-9.3648347802189891E-3</v>
      </c>
      <c r="Z43" s="44">
        <f>bdrateOld($D43:$D46,F43:F46,$L43:$L46,N43:N46)</f>
        <v>5.4839870959935144E-3</v>
      </c>
      <c r="AA43" s="45">
        <f>bdrateOld($D43:$D46,G43:G46,$L43:$L46,O43:O46)</f>
        <v>-1.7081590130494484E-2</v>
      </c>
    </row>
    <row r="44" spans="1:27" x14ac:dyDescent="0.2">
      <c r="A44" s="16"/>
      <c r="B44" s="85"/>
      <c r="C44" s="16">
        <v>32</v>
      </c>
      <c r="D44" s="17">
        <f>Reference!B186</f>
        <v>496.57600000000002</v>
      </c>
      <c r="E44" s="18">
        <f>Reference!C186</f>
        <v>41.287700000000001</v>
      </c>
      <c r="F44" s="18">
        <f>Reference!D186</f>
        <v>45.564100000000003</v>
      </c>
      <c r="G44" s="18">
        <f>Reference!E186</f>
        <v>46.164700000000003</v>
      </c>
      <c r="H44" s="18">
        <f>Reference!F186</f>
        <v>36129.472999999998</v>
      </c>
      <c r="I44" s="18">
        <f>Reference!G186</f>
        <v>6.9770000000000003</v>
      </c>
      <c r="J44" s="19">
        <f t="shared" si="8"/>
        <v>10.035964722222221</v>
      </c>
      <c r="L44" s="17">
        <f>Test!B186</f>
        <v>495.84480000000002</v>
      </c>
      <c r="M44" s="18">
        <f>Test!C186</f>
        <v>41.306899999999999</v>
      </c>
      <c r="N44" s="18">
        <f>Test!D186</f>
        <v>45.576999999999998</v>
      </c>
      <c r="O44" s="18">
        <f>Test!E186</f>
        <v>46.17</v>
      </c>
      <c r="P44" s="18">
        <f>Test!F186</f>
        <v>33617.483999999997</v>
      </c>
      <c r="Q44" s="18">
        <f>Test!G186</f>
        <v>7.4329999999999998</v>
      </c>
      <c r="R44" s="19">
        <f t="shared" si="9"/>
        <v>9.3381899999999991</v>
      </c>
      <c r="S44" s="17">
        <f t="shared" si="7"/>
        <v>0.93047258120814547</v>
      </c>
      <c r="T44" s="18">
        <f t="shared" si="7"/>
        <v>1.0653576035545362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265.36160000000001</v>
      </c>
      <c r="E45" s="18">
        <f>Reference!C187</f>
        <v>39.128799999999998</v>
      </c>
      <c r="F45" s="18">
        <f>Reference!D187</f>
        <v>44.241</v>
      </c>
      <c r="G45" s="18">
        <f>Reference!E187</f>
        <v>44.680700000000002</v>
      </c>
      <c r="H45" s="18">
        <f>Reference!F187</f>
        <v>21137.846000000001</v>
      </c>
      <c r="I45" s="18">
        <f>Reference!G187</f>
        <v>5.6459999999999999</v>
      </c>
      <c r="J45" s="19">
        <f t="shared" si="8"/>
        <v>5.8716238888888892</v>
      </c>
      <c r="L45" s="17">
        <f>Test!B187</f>
        <v>263.3424</v>
      </c>
      <c r="M45" s="18">
        <f>Test!C187</f>
        <v>39.142699999999998</v>
      </c>
      <c r="N45" s="18">
        <f>Test!D187</f>
        <v>44.177799999999998</v>
      </c>
      <c r="O45" s="18">
        <f>Test!E187</f>
        <v>44.761000000000003</v>
      </c>
      <c r="P45" s="18">
        <f>Test!F187</f>
        <v>19386.967000000001</v>
      </c>
      <c r="Q45" s="18">
        <f>Test!G187</f>
        <v>5.6029999999999998</v>
      </c>
      <c r="R45" s="19">
        <f t="shared" si="9"/>
        <v>5.385268611111111</v>
      </c>
      <c r="S45" s="17">
        <f t="shared" si="7"/>
        <v>0.91716852322606568</v>
      </c>
      <c r="T45" s="18">
        <f t="shared" si="7"/>
        <v>0.99238398866454125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143.5712</v>
      </c>
      <c r="E46" s="23">
        <f>Reference!C188</f>
        <v>36.357199999999999</v>
      </c>
      <c r="F46" s="23">
        <f>Reference!D188</f>
        <v>42.559899999999999</v>
      </c>
      <c r="G46" s="23">
        <f>Reference!E188</f>
        <v>42.965499999999999</v>
      </c>
      <c r="H46" s="23">
        <f>Reference!F188</f>
        <v>12652.463</v>
      </c>
      <c r="I46" s="23">
        <f>Reference!G188</f>
        <v>5.069</v>
      </c>
      <c r="J46" s="24">
        <f t="shared" si="8"/>
        <v>3.5145730555555557</v>
      </c>
      <c r="L46" s="22">
        <f>Test!B188</f>
        <v>143.5728</v>
      </c>
      <c r="M46" s="23">
        <f>Test!C188</f>
        <v>36.380699999999997</v>
      </c>
      <c r="N46" s="23">
        <f>Test!D188</f>
        <v>42.5351</v>
      </c>
      <c r="O46" s="23">
        <f>Test!E188</f>
        <v>42.828099999999999</v>
      </c>
      <c r="P46" s="23">
        <f>Test!F188</f>
        <v>11421.744000000001</v>
      </c>
      <c r="Q46" s="23">
        <f>Test!G188</f>
        <v>4.7640000000000002</v>
      </c>
      <c r="R46" s="24">
        <f t="shared" si="9"/>
        <v>3.172706666666667</v>
      </c>
      <c r="S46" s="17">
        <f t="shared" si="7"/>
        <v>0.90272889950359869</v>
      </c>
      <c r="T46" s="18">
        <f t="shared" si="7"/>
        <v>0.93983034129019538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1343.2704000000001</v>
      </c>
      <c r="E47" s="13">
        <f>Reference!C189</f>
        <v>42.627000000000002</v>
      </c>
      <c r="F47" s="13">
        <f>Reference!D189</f>
        <v>48.006100000000004</v>
      </c>
      <c r="G47" s="13">
        <f>Reference!E189</f>
        <v>47.454999999999998</v>
      </c>
      <c r="H47" s="13">
        <f>Reference!F189</f>
        <v>65791.656000000003</v>
      </c>
      <c r="I47" s="13">
        <f>Reference!G189</f>
        <v>9.8789999999999996</v>
      </c>
      <c r="J47" s="14">
        <f>H47/3600</f>
        <v>18.275460000000002</v>
      </c>
      <c r="L47" s="12">
        <f>Test!B189</f>
        <v>1344.4384</v>
      </c>
      <c r="M47" s="13">
        <f>Test!C189</f>
        <v>42.6404</v>
      </c>
      <c r="N47" s="13">
        <f>Test!D189</f>
        <v>48.012599999999999</v>
      </c>
      <c r="O47" s="13">
        <f>Test!E189</f>
        <v>47.463700000000003</v>
      </c>
      <c r="P47" s="13">
        <f>Test!F189</f>
        <v>60866.612999999998</v>
      </c>
      <c r="Q47" s="13">
        <f>Test!G189</f>
        <v>9.8510000000000009</v>
      </c>
      <c r="R47" s="14">
        <f>P47/3600</f>
        <v>16.9073925</v>
      </c>
      <c r="S47" s="17">
        <f t="shared" ref="S47:T62" si="10">P47/H47</f>
        <v>0.92514182953534407</v>
      </c>
      <c r="T47" s="18">
        <f t="shared" si="10"/>
        <v>0.99716570503087365</v>
      </c>
      <c r="U47" s="91"/>
      <c r="V47" s="37">
        <f>bdrate($D47:$D50,E47:E50,$L47:$L50,M47:M50)</f>
        <v>-1.3754399994276079E-2</v>
      </c>
      <c r="W47" s="42">
        <f>bdrate($D47:$D50,F47:F50,$L47:$L50,N47:N50)</f>
        <v>-4.1064887945119533E-2</v>
      </c>
      <c r="X47" s="43">
        <f>bdrate($D47:$D50,G47:G50,$L47:$L50,O47:O50)</f>
        <v>6.3510310888250654E-3</v>
      </c>
      <c r="Y47" s="37">
        <f>bdrateOld($D47:$D50,E47:E50,$L47:$L50,M47:M50)</f>
        <v>-1.3380359462716096E-2</v>
      </c>
      <c r="Z47" s="42">
        <f>bdrateOld($D47:$D50,F47:F50,$L47:$L50,N47:N50)</f>
        <v>-4.0177419043565421E-2</v>
      </c>
      <c r="AA47" s="43">
        <f>bdrateOld($D47:$D50,G47:G50,$L47:$L50,O47:O50)</f>
        <v>5.0779030132335201E-3</v>
      </c>
    </row>
    <row r="48" spans="1:27" x14ac:dyDescent="0.2">
      <c r="A48" s="16"/>
      <c r="B48" s="85"/>
      <c r="C48" s="16">
        <v>32</v>
      </c>
      <c r="D48" s="17">
        <f>Reference!B190</f>
        <v>663.42880000000002</v>
      </c>
      <c r="E48" s="18">
        <f>Reference!C190</f>
        <v>40.912399999999998</v>
      </c>
      <c r="F48" s="18">
        <f>Reference!D190</f>
        <v>47.213999999999999</v>
      </c>
      <c r="G48" s="18">
        <f>Reference!E190</f>
        <v>46.3005</v>
      </c>
      <c r="H48" s="18">
        <f>Reference!F190</f>
        <v>39088.328000000001</v>
      </c>
      <c r="I48" s="18">
        <f>Reference!G190</f>
        <v>7.95</v>
      </c>
      <c r="J48" s="19">
        <f t="shared" ref="J48:J70" si="11">H48/3600</f>
        <v>10.857868888888889</v>
      </c>
      <c r="L48" s="17">
        <f>Test!B190</f>
        <v>660.74080000000004</v>
      </c>
      <c r="M48" s="18">
        <f>Test!C190</f>
        <v>40.947499999999998</v>
      </c>
      <c r="N48" s="18">
        <f>Test!D190</f>
        <v>47.2423</v>
      </c>
      <c r="O48" s="18">
        <f>Test!E190</f>
        <v>46.268700000000003</v>
      </c>
      <c r="P48" s="18">
        <f>Test!F190</f>
        <v>35176.175999999999</v>
      </c>
      <c r="Q48" s="18">
        <f>Test!G190</f>
        <v>7.1239999999999997</v>
      </c>
      <c r="R48" s="19">
        <f t="shared" ref="R48:R70" si="12">P48/3600</f>
        <v>9.7711600000000001</v>
      </c>
      <c r="S48" s="17">
        <f t="shared" si="10"/>
        <v>0.89991508462577363</v>
      </c>
      <c r="T48" s="18">
        <f t="shared" si="10"/>
        <v>0.89610062893081754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352.69600000000003</v>
      </c>
      <c r="E49" s="18">
        <f>Reference!C191</f>
        <v>38.624499999999998</v>
      </c>
      <c r="F49" s="18">
        <f>Reference!D191</f>
        <v>46.011000000000003</v>
      </c>
      <c r="G49" s="18">
        <f>Reference!E191</f>
        <v>44.616599999999998</v>
      </c>
      <c r="H49" s="18">
        <f>Reference!F191</f>
        <v>23100.859</v>
      </c>
      <c r="I49" s="18">
        <f>Reference!G191</f>
        <v>7.0519999999999996</v>
      </c>
      <c r="J49" s="19">
        <f t="shared" si="11"/>
        <v>6.4169052777777775</v>
      </c>
      <c r="L49" s="17">
        <f>Test!B191</f>
        <v>350.69760000000002</v>
      </c>
      <c r="M49" s="18">
        <f>Test!C191</f>
        <v>38.663400000000003</v>
      </c>
      <c r="N49" s="18">
        <f>Test!D191</f>
        <v>46.154499999999999</v>
      </c>
      <c r="O49" s="18">
        <f>Test!E191</f>
        <v>44.591999999999999</v>
      </c>
      <c r="P49" s="18">
        <f>Test!F191</f>
        <v>21055.178</v>
      </c>
      <c r="Q49" s="18">
        <f>Test!G191</f>
        <v>6.4249999999999998</v>
      </c>
      <c r="R49" s="19">
        <f t="shared" si="12"/>
        <v>5.8486605555555551</v>
      </c>
      <c r="S49" s="17">
        <f t="shared" si="10"/>
        <v>0.91144567394658349</v>
      </c>
      <c r="T49" s="18">
        <f t="shared" si="10"/>
        <v>0.91108905275099261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192.7808</v>
      </c>
      <c r="E50" s="23">
        <f>Reference!C192</f>
        <v>35.578899999999997</v>
      </c>
      <c r="F50" s="23">
        <f>Reference!D192</f>
        <v>44.655900000000003</v>
      </c>
      <c r="G50" s="23">
        <f>Reference!E192</f>
        <v>42.269599999999997</v>
      </c>
      <c r="H50" s="23">
        <f>Reference!F192</f>
        <v>14458.999</v>
      </c>
      <c r="I50" s="23">
        <f>Reference!G192</f>
        <v>5.516</v>
      </c>
      <c r="J50" s="24">
        <f t="shared" si="11"/>
        <v>4.0163886111111111</v>
      </c>
      <c r="L50" s="22">
        <f>Test!B192</f>
        <v>192.2576</v>
      </c>
      <c r="M50" s="23">
        <f>Test!C192</f>
        <v>35.631399999999999</v>
      </c>
      <c r="N50" s="23">
        <f>Test!D192</f>
        <v>44.6372</v>
      </c>
      <c r="O50" s="23">
        <f>Test!E192</f>
        <v>42.174700000000001</v>
      </c>
      <c r="P50" s="23">
        <f>Test!F192</f>
        <v>13238.692999999999</v>
      </c>
      <c r="Q50" s="23">
        <f>Test!G192</f>
        <v>5.4960000000000004</v>
      </c>
      <c r="R50" s="24">
        <f t="shared" si="12"/>
        <v>3.6774147222222222</v>
      </c>
      <c r="S50" s="22">
        <f t="shared" si="10"/>
        <v>0.91560231797512392</v>
      </c>
      <c r="T50" s="23">
        <f t="shared" si="10"/>
        <v>0.99637418419144319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22.285994370813075</v>
      </c>
      <c r="J75" s="15">
        <f>GEOMEAN(J3:J18)</f>
        <v>32.781893297364263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7">AVERAGE(W3:W18)</f>
        <v>#VALUE!</v>
      </c>
      <c r="X75" s="42" t="e">
        <f t="shared" si="17"/>
        <v>#VALUE!</v>
      </c>
      <c r="Y75" s="37" t="e">
        <f>AVERAGE(Y3:Y18)</f>
        <v>#VALUE!</v>
      </c>
      <c r="Z75" s="42" t="e">
        <f t="shared" si="17"/>
        <v>#VALUE!</v>
      </c>
      <c r="AA75" s="43" t="e">
        <f t="shared" si="17"/>
        <v>#VALUE!</v>
      </c>
    </row>
    <row r="76" spans="1:27" x14ac:dyDescent="0.2">
      <c r="B76" s="89" t="s">
        <v>47</v>
      </c>
      <c r="I76" s="15">
        <f>GEOMEAN(I19:I34)</f>
        <v>26.898771008373753</v>
      </c>
      <c r="J76" s="15">
        <f>GEOMEAN(J19:J34)</f>
        <v>42.084140343779673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38" t="e">
        <f>AVERAGE(V19:V34)</f>
        <v>#VALUE!</v>
      </c>
      <c r="W76" s="25" t="e">
        <f t="shared" ref="W76:AA76" si="18">AVERAGE(W19:W34)</f>
        <v>#VALUE!</v>
      </c>
      <c r="X76" s="25" t="e">
        <f t="shared" si="18"/>
        <v>#VALUE!</v>
      </c>
      <c r="Y76" s="38" t="e">
        <f t="shared" si="18"/>
        <v>#VALUE!</v>
      </c>
      <c r="Z76" s="25" t="e">
        <f t="shared" si="18"/>
        <v>#VALUE!</v>
      </c>
      <c r="AA76" s="50" t="e">
        <f t="shared" si="18"/>
        <v>#VALUE!</v>
      </c>
    </row>
    <row r="77" spans="1:27" x14ac:dyDescent="0.2">
      <c r="B77" s="89" t="s">
        <v>51</v>
      </c>
      <c r="I77" s="15">
        <f>GEOMEAN(I35:I50)</f>
        <v>9.0254757307138362</v>
      </c>
      <c r="J77" s="15">
        <f>GEOMEAN(J35:J50)</f>
        <v>12.47637952781699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#NUM!</v>
      </c>
      <c r="T77" s="15" t="e">
        <f>GEOMEAN(T35:T50)</f>
        <v>#NUM!</v>
      </c>
      <c r="V77" s="38" t="e">
        <f>AVERAGE(V35:V50)</f>
        <v>#VALUE!</v>
      </c>
      <c r="W77" s="25" t="e">
        <f t="shared" ref="W77:AA77" si="19">AVERAGE(W35:W50)</f>
        <v>#VALUE!</v>
      </c>
      <c r="X77" s="25" t="e">
        <f t="shared" si="19"/>
        <v>#VALUE!</v>
      </c>
      <c r="Y77" s="38" t="e">
        <f t="shared" si="19"/>
        <v>#VALUE!</v>
      </c>
      <c r="Z77" s="25" t="e">
        <f t="shared" si="19"/>
        <v>#VALUE!</v>
      </c>
      <c r="AA77" s="50" t="e">
        <f t="shared" si="19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17.555431920881496</v>
      </c>
      <c r="J80" s="54">
        <f xml:space="preserve"> GEOMEAN(J3:J50)</f>
        <v>25.81945217251096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3">AVERAGE(W3:W50)</f>
        <v>#VALUE!</v>
      </c>
      <c r="X80" s="47" t="e">
        <f t="shared" si="23"/>
        <v>#VALUE!</v>
      </c>
      <c r="Y80" s="46" t="e">
        <f t="shared" si="23"/>
        <v>#VALUE!</v>
      </c>
      <c r="Z80" s="46" t="e">
        <f t="shared" si="23"/>
        <v>#VALUE!</v>
      </c>
      <c r="AA80" s="47" t="e">
        <f t="shared" si="23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77497.984899999996</v>
      </c>
      <c r="C1">
        <v>40.8005</v>
      </c>
      <c r="D1">
        <v>49.129199999999997</v>
      </c>
      <c r="E1">
        <v>47.6556</v>
      </c>
      <c r="F1">
        <v>90598.797000000006</v>
      </c>
      <c r="G1">
        <v>26.888999999999999</v>
      </c>
    </row>
    <row r="2" spans="1:7" x14ac:dyDescent="0.15">
      <c r="A2" s="141" t="s">
        <v>191</v>
      </c>
      <c r="B2">
        <v>41825.124300000003</v>
      </c>
      <c r="C2">
        <v>40.149900000000002</v>
      </c>
      <c r="D2">
        <v>48.338000000000001</v>
      </c>
      <c r="E2">
        <v>46.536099999999998</v>
      </c>
      <c r="F2">
        <v>49333.983999999997</v>
      </c>
      <c r="G2">
        <v>23.718</v>
      </c>
    </row>
    <row r="3" spans="1:7" x14ac:dyDescent="0.15">
      <c r="A3" s="141" t="s">
        <v>192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29182.701000000001</v>
      </c>
      <c r="G3">
        <v>22.021000000000001</v>
      </c>
    </row>
    <row r="4" spans="1:7" x14ac:dyDescent="0.15">
      <c r="A4" s="141" t="s">
        <v>193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16100.026</v>
      </c>
      <c r="G4">
        <v>20.614000000000001</v>
      </c>
    </row>
    <row r="5" spans="1:7" x14ac:dyDescent="0.15">
      <c r="A5" s="141" t="s">
        <v>194</v>
      </c>
      <c r="B5">
        <v>327906.1053</v>
      </c>
      <c r="C5">
        <v>44.643799999999999</v>
      </c>
      <c r="D5">
        <v>38.883200000000002</v>
      </c>
      <c r="E5">
        <v>39.506700000000002</v>
      </c>
      <c r="F5">
        <v>140233.46900000001</v>
      </c>
      <c r="G5">
        <v>38.564999999999998</v>
      </c>
    </row>
    <row r="6" spans="1:7" x14ac:dyDescent="0.15">
      <c r="A6" s="141" t="s">
        <v>195</v>
      </c>
      <c r="B6">
        <v>209113.2421</v>
      </c>
      <c r="C6">
        <v>41.878500000000003</v>
      </c>
      <c r="D6">
        <v>36.3035</v>
      </c>
      <c r="E6">
        <v>37.206299999999999</v>
      </c>
      <c r="F6">
        <v>110175.625</v>
      </c>
      <c r="G6">
        <v>34.712000000000003</v>
      </c>
    </row>
    <row r="7" spans="1:7" x14ac:dyDescent="0.15">
      <c r="A7" s="141" t="s">
        <v>196</v>
      </c>
      <c r="B7">
        <v>119373.3368</v>
      </c>
      <c r="C7">
        <v>38.631799999999998</v>
      </c>
      <c r="D7">
        <v>34.012099999999997</v>
      </c>
      <c r="E7">
        <v>35.131900000000002</v>
      </c>
      <c r="F7">
        <v>80872.414000000004</v>
      </c>
      <c r="G7">
        <v>29.707000000000001</v>
      </c>
    </row>
    <row r="8" spans="1:7" x14ac:dyDescent="0.15">
      <c r="A8" s="141" t="s">
        <v>197</v>
      </c>
      <c r="B8">
        <v>56000.463199999998</v>
      </c>
      <c r="C8">
        <v>35.179099999999998</v>
      </c>
      <c r="D8">
        <v>31.644600000000001</v>
      </c>
      <c r="E8">
        <v>33.087899999999998</v>
      </c>
      <c r="F8">
        <v>52101.84</v>
      </c>
      <c r="G8">
        <v>24.567</v>
      </c>
    </row>
    <row r="9" spans="1:7" x14ac:dyDescent="0.15">
      <c r="A9" s="141" t="s">
        <v>198</v>
      </c>
      <c r="B9">
        <v>125646.1958</v>
      </c>
      <c r="C9">
        <v>41.547699999999999</v>
      </c>
      <c r="D9">
        <v>43.826599999999999</v>
      </c>
      <c r="E9">
        <v>42.737299999999998</v>
      </c>
      <c r="F9">
        <v>141769.484</v>
      </c>
      <c r="G9">
        <v>31.885000000000002</v>
      </c>
    </row>
    <row r="10" spans="1:7" x14ac:dyDescent="0.15">
      <c r="A10" s="141" t="s">
        <v>199</v>
      </c>
      <c r="B10">
        <v>56415.568399999996</v>
      </c>
      <c r="C10">
        <v>38.850200000000001</v>
      </c>
      <c r="D10">
        <v>41.226700000000001</v>
      </c>
      <c r="E10">
        <v>41.563899999999997</v>
      </c>
      <c r="F10">
        <v>86367.077999999994</v>
      </c>
      <c r="G10">
        <v>26.039000000000001</v>
      </c>
    </row>
    <row r="11" spans="1:7" x14ac:dyDescent="0.15">
      <c r="A11" s="141" t="s">
        <v>200</v>
      </c>
      <c r="B11">
        <v>25617</v>
      </c>
      <c r="C11">
        <v>37.287500000000001</v>
      </c>
      <c r="D11">
        <v>38.915599999999998</v>
      </c>
      <c r="E11">
        <v>40.426299999999998</v>
      </c>
      <c r="F11">
        <v>45832.32</v>
      </c>
      <c r="G11">
        <v>21.722999999999999</v>
      </c>
    </row>
    <row r="12" spans="1:7" x14ac:dyDescent="0.15">
      <c r="A12" s="141" t="s">
        <v>201</v>
      </c>
      <c r="B12">
        <v>12382.5663</v>
      </c>
      <c r="C12">
        <v>35.897799999999997</v>
      </c>
      <c r="D12">
        <v>36.217399999999998</v>
      </c>
      <c r="E12">
        <v>38.920299999999997</v>
      </c>
      <c r="F12">
        <v>25207.526999999998</v>
      </c>
      <c r="G12">
        <v>19.221</v>
      </c>
    </row>
    <row r="13" spans="1:7" x14ac:dyDescent="0.15">
      <c r="A13" s="141" t="s">
        <v>202</v>
      </c>
      <c r="B13">
        <v>178954.8884</v>
      </c>
      <c r="C13">
        <v>38.600900000000003</v>
      </c>
      <c r="D13">
        <v>45.480400000000003</v>
      </c>
      <c r="E13">
        <v>43.284500000000001</v>
      </c>
      <c r="F13">
        <v>168451.90599999999</v>
      </c>
      <c r="G13">
        <v>32.381999999999998</v>
      </c>
    </row>
    <row r="14" spans="1:7" x14ac:dyDescent="0.15">
      <c r="A14" s="141" t="s">
        <v>203</v>
      </c>
      <c r="B14">
        <v>87394.130499999999</v>
      </c>
      <c r="C14">
        <v>37.662100000000002</v>
      </c>
      <c r="D14">
        <v>44.520600000000002</v>
      </c>
      <c r="E14">
        <v>42.122100000000003</v>
      </c>
      <c r="F14">
        <v>94085.25</v>
      </c>
      <c r="G14">
        <v>26.623999999999999</v>
      </c>
    </row>
    <row r="15" spans="1:7" x14ac:dyDescent="0.15">
      <c r="A15" s="141" t="s">
        <v>204</v>
      </c>
      <c r="B15">
        <v>50177.178899999999</v>
      </c>
      <c r="C15">
        <v>36.731000000000002</v>
      </c>
      <c r="D15">
        <v>43.464100000000002</v>
      </c>
      <c r="E15">
        <v>40.902900000000002</v>
      </c>
      <c r="F15">
        <v>55864.245999999999</v>
      </c>
      <c r="G15">
        <v>23.446000000000002</v>
      </c>
    </row>
    <row r="16" spans="1:7" x14ac:dyDescent="0.15">
      <c r="A16" s="141" t="s">
        <v>205</v>
      </c>
      <c r="B16">
        <v>26433.1705</v>
      </c>
      <c r="C16">
        <v>35.2258</v>
      </c>
      <c r="D16">
        <v>42.01</v>
      </c>
      <c r="E16">
        <v>39.510899999999999</v>
      </c>
      <c r="F16">
        <v>32602.271000000001</v>
      </c>
      <c r="G16">
        <v>20.643000000000001</v>
      </c>
    </row>
    <row r="17" spans="1:7" x14ac:dyDescent="0.15">
      <c r="A17" s="141" t="s">
        <v>94</v>
      </c>
      <c r="B17">
        <v>68243.104800000001</v>
      </c>
      <c r="C17">
        <v>39.5443</v>
      </c>
      <c r="D17">
        <v>40.376399999999997</v>
      </c>
      <c r="E17">
        <v>43.282200000000003</v>
      </c>
      <c r="F17">
        <v>83407.648000000001</v>
      </c>
      <c r="G17">
        <v>16.568000000000001</v>
      </c>
    </row>
    <row r="18" spans="1:7" x14ac:dyDescent="0.15">
      <c r="A18" s="141" t="s">
        <v>95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55801.535000000003</v>
      </c>
      <c r="G18">
        <v>13.555999999999999</v>
      </c>
    </row>
    <row r="19" spans="1:7" x14ac:dyDescent="0.15">
      <c r="A19" s="141" t="s">
        <v>96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36929.495999999999</v>
      </c>
      <c r="G19">
        <v>11.624000000000001</v>
      </c>
    </row>
    <row r="20" spans="1:7" x14ac:dyDescent="0.15">
      <c r="A20" s="141" t="s">
        <v>97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23019.798999999999</v>
      </c>
      <c r="G20">
        <v>9.8000000000000007</v>
      </c>
    </row>
    <row r="21" spans="1:7" x14ac:dyDescent="0.15">
      <c r="A21" s="141" t="s">
        <v>98</v>
      </c>
      <c r="B21">
        <v>42998.7111</v>
      </c>
      <c r="C21">
        <v>40.1858</v>
      </c>
      <c r="D21">
        <v>44.069800000000001</v>
      </c>
      <c r="E21">
        <v>45.479399999999998</v>
      </c>
      <c r="F21">
        <v>63415.538999999997</v>
      </c>
      <c r="G21">
        <v>13.926</v>
      </c>
    </row>
    <row r="22" spans="1:7" x14ac:dyDescent="0.15">
      <c r="A22" s="141" t="s">
        <v>99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40568.847999999998</v>
      </c>
      <c r="G22">
        <v>11.724</v>
      </c>
    </row>
    <row r="23" spans="1:7" x14ac:dyDescent="0.15">
      <c r="A23" s="141" t="s">
        <v>100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25624.074000000001</v>
      </c>
      <c r="G23">
        <v>10.115</v>
      </c>
    </row>
    <row r="24" spans="1:7" x14ac:dyDescent="0.15">
      <c r="A24" s="141" t="s">
        <v>101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15161.656999999999</v>
      </c>
      <c r="G24">
        <v>8.9870000000000001</v>
      </c>
    </row>
    <row r="25" spans="1:7" x14ac:dyDescent="0.15">
      <c r="A25" s="141" t="s">
        <v>206</v>
      </c>
      <c r="B25">
        <v>65111.648000000001</v>
      </c>
      <c r="C25">
        <v>41.688299999999998</v>
      </c>
      <c r="D25">
        <v>44.173999999999999</v>
      </c>
      <c r="E25">
        <v>44.928199999999997</v>
      </c>
      <c r="F25">
        <v>70876.75</v>
      </c>
      <c r="G25">
        <v>17.605</v>
      </c>
    </row>
    <row r="26" spans="1:7" x14ac:dyDescent="0.15">
      <c r="A26" s="141" t="s">
        <v>207</v>
      </c>
      <c r="B26">
        <v>41955.462399999997</v>
      </c>
      <c r="C26">
        <v>39.8904</v>
      </c>
      <c r="D26">
        <v>42.6511</v>
      </c>
      <c r="E26">
        <v>43.607799999999997</v>
      </c>
      <c r="F26">
        <v>50830.684000000001</v>
      </c>
      <c r="G26">
        <v>14.885999999999999</v>
      </c>
    </row>
    <row r="27" spans="1:7" x14ac:dyDescent="0.15">
      <c r="A27" s="141" t="s">
        <v>208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34752.644999999997</v>
      </c>
      <c r="G27">
        <v>13.478999999999999</v>
      </c>
    </row>
    <row r="28" spans="1:7" x14ac:dyDescent="0.15">
      <c r="A28" s="141" t="s">
        <v>209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21409.011999999999</v>
      </c>
      <c r="G28">
        <v>11.606</v>
      </c>
    </row>
    <row r="29" spans="1:7" x14ac:dyDescent="0.15">
      <c r="A29" s="141" t="s">
        <v>210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49529.031000000003</v>
      </c>
      <c r="G29">
        <v>15.221</v>
      </c>
    </row>
    <row r="30" spans="1:7" x14ac:dyDescent="0.15">
      <c r="A30" s="141" t="s">
        <v>211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37273.504000000001</v>
      </c>
      <c r="G30">
        <v>13.754</v>
      </c>
    </row>
    <row r="31" spans="1:7" x14ac:dyDescent="0.15">
      <c r="A31" s="141" t="s">
        <v>212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26091.572</v>
      </c>
      <c r="G31">
        <v>12.345000000000001</v>
      </c>
    </row>
    <row r="32" spans="1:7" x14ac:dyDescent="0.15">
      <c r="A32" s="141" t="s">
        <v>213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16215.302</v>
      </c>
      <c r="G32">
        <v>10.476000000000001</v>
      </c>
    </row>
    <row r="33" spans="1:7" x14ac:dyDescent="0.15">
      <c r="A33" s="141" t="s">
        <v>102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48561.913999999997</v>
      </c>
      <c r="G33">
        <v>9.718</v>
      </c>
    </row>
    <row r="34" spans="1:7" x14ac:dyDescent="0.15">
      <c r="A34" s="141" t="s">
        <v>103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39690.843999999997</v>
      </c>
      <c r="G34">
        <v>8.7309999999999999</v>
      </c>
    </row>
    <row r="35" spans="1:7" x14ac:dyDescent="0.15">
      <c r="A35" s="141" t="s">
        <v>104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29636.226999999999</v>
      </c>
      <c r="G35">
        <v>7.35</v>
      </c>
    </row>
    <row r="36" spans="1:7" x14ac:dyDescent="0.15">
      <c r="A36" s="141" t="s">
        <v>105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19218.695</v>
      </c>
      <c r="G36">
        <v>5.8949999999999996</v>
      </c>
    </row>
    <row r="37" spans="1:7" x14ac:dyDescent="0.15">
      <c r="A37" s="141" t="s">
        <v>106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27430.721000000001</v>
      </c>
      <c r="G37">
        <v>6.7460000000000004</v>
      </c>
    </row>
    <row r="38" spans="1:7" x14ac:dyDescent="0.15">
      <c r="A38" s="141" t="s">
        <v>107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18867.379000000001</v>
      </c>
      <c r="G38">
        <v>5.8390000000000004</v>
      </c>
    </row>
    <row r="39" spans="1:7" x14ac:dyDescent="0.15">
      <c r="A39" s="141" t="s">
        <v>108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12143.112999999999</v>
      </c>
      <c r="G39">
        <v>5.1970000000000001</v>
      </c>
    </row>
    <row r="40" spans="1:7" x14ac:dyDescent="0.15">
      <c r="A40" s="141" t="s">
        <v>109</v>
      </c>
      <c r="B40">
        <v>3281.9456</v>
      </c>
      <c r="C40">
        <v>36.2714</v>
      </c>
      <c r="D40">
        <v>42.055500000000002</v>
      </c>
      <c r="E40">
        <v>41.349200000000003</v>
      </c>
      <c r="F40">
        <v>7088.8050000000003</v>
      </c>
      <c r="G40">
        <v>4.5330000000000004</v>
      </c>
    </row>
    <row r="41" spans="1:7" x14ac:dyDescent="0.15">
      <c r="A41" s="141" t="s">
        <v>110</v>
      </c>
      <c r="B41">
        <v>15326.464</v>
      </c>
      <c r="C41">
        <v>44.1815</v>
      </c>
      <c r="D41">
        <v>46.9116</v>
      </c>
      <c r="E41">
        <v>47.778799999999997</v>
      </c>
      <c r="F41">
        <v>21788.657999999999</v>
      </c>
      <c r="G41">
        <v>6.3390000000000004</v>
      </c>
    </row>
    <row r="42" spans="1:7" x14ac:dyDescent="0.15">
      <c r="A42" s="141" t="s">
        <v>111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16203.18</v>
      </c>
      <c r="G42">
        <v>6.0540000000000003</v>
      </c>
    </row>
    <row r="43" spans="1:7" x14ac:dyDescent="0.15">
      <c r="A43" s="141" t="s">
        <v>112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11504.227999999999</v>
      </c>
      <c r="G43">
        <v>5.2720000000000002</v>
      </c>
    </row>
    <row r="44" spans="1:7" x14ac:dyDescent="0.15">
      <c r="A44" s="141" t="s">
        <v>113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7476.9459999999999</v>
      </c>
      <c r="G44">
        <v>4.5629999999999997</v>
      </c>
    </row>
    <row r="45" spans="1:7" x14ac:dyDescent="0.15">
      <c r="A45" s="141" t="s">
        <v>114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21669.686000000002</v>
      </c>
      <c r="G45">
        <v>6.2480000000000002</v>
      </c>
    </row>
    <row r="46" spans="1:7" x14ac:dyDescent="0.15">
      <c r="A46" s="141" t="s">
        <v>115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16502.687999999998</v>
      </c>
      <c r="G46">
        <v>5.5060000000000002</v>
      </c>
    </row>
    <row r="47" spans="1:7" x14ac:dyDescent="0.15">
      <c r="A47" s="141" t="s">
        <v>116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12053.499</v>
      </c>
      <c r="G47">
        <v>5.1369999999999996</v>
      </c>
    </row>
    <row r="48" spans="1:7" x14ac:dyDescent="0.15">
      <c r="A48" s="141" t="s">
        <v>117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8044.6970000000001</v>
      </c>
      <c r="G48">
        <v>4.4180000000000001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14727.724</v>
      </c>
      <c r="C73">
        <v>40.078099999999999</v>
      </c>
      <c r="D73">
        <v>48.927999999999997</v>
      </c>
      <c r="E73">
        <v>46.9238</v>
      </c>
      <c r="F73">
        <v>335175.43</v>
      </c>
      <c r="G73">
        <v>65.512</v>
      </c>
    </row>
    <row r="74" spans="1:7" x14ac:dyDescent="0.15">
      <c r="A74" s="141" t="s">
        <v>223</v>
      </c>
      <c r="B74">
        <v>6825.6639999999998</v>
      </c>
      <c r="C74">
        <v>39.576500000000003</v>
      </c>
      <c r="D74">
        <v>48.336199999999998</v>
      </c>
      <c r="E74">
        <v>46.046999999999997</v>
      </c>
      <c r="F74">
        <v>184844.09899999999</v>
      </c>
      <c r="G74">
        <v>59.664000000000001</v>
      </c>
    </row>
    <row r="75" spans="1:7" x14ac:dyDescent="0.15">
      <c r="A75" s="141" t="s">
        <v>224</v>
      </c>
      <c r="B75">
        <v>3688.6959999999999</v>
      </c>
      <c r="C75">
        <v>38.720799999999997</v>
      </c>
      <c r="D75">
        <v>47.317599999999999</v>
      </c>
      <c r="E75">
        <v>44.735399999999998</v>
      </c>
      <c r="F75">
        <v>92866.52</v>
      </c>
      <c r="G75">
        <v>54.164000000000001</v>
      </c>
    </row>
    <row r="76" spans="1:7" x14ac:dyDescent="0.15">
      <c r="A76" s="141" t="s">
        <v>225</v>
      </c>
      <c r="B76">
        <v>1944.4680000000001</v>
      </c>
      <c r="C76">
        <v>37.2072</v>
      </c>
      <c r="D76">
        <v>46.0914</v>
      </c>
      <c r="E76">
        <v>43.0809</v>
      </c>
      <c r="F76">
        <v>45971.258999999998</v>
      </c>
      <c r="G76">
        <v>48.969000000000001</v>
      </c>
    </row>
    <row r="77" spans="1:7" x14ac:dyDescent="0.15">
      <c r="A77" s="141" t="s">
        <v>226</v>
      </c>
      <c r="B77">
        <v>77891.34</v>
      </c>
      <c r="C77">
        <v>41.582999999999998</v>
      </c>
      <c r="D77">
        <v>36.273000000000003</v>
      </c>
      <c r="E77">
        <v>37.376100000000001</v>
      </c>
      <c r="F77">
        <v>613268.37300000002</v>
      </c>
      <c r="G77">
        <v>68.105999999999995</v>
      </c>
    </row>
    <row r="78" spans="1:7" x14ac:dyDescent="0.15">
      <c r="A78" s="141" t="s">
        <v>227</v>
      </c>
      <c r="B78">
        <v>40362.016000000003</v>
      </c>
      <c r="C78">
        <v>38.9848</v>
      </c>
      <c r="D78">
        <v>34.332799999999999</v>
      </c>
      <c r="E78">
        <v>35.656700000000001</v>
      </c>
      <c r="F78">
        <v>407074.37300000002</v>
      </c>
      <c r="G78">
        <v>61.201000000000001</v>
      </c>
    </row>
    <row r="79" spans="1:7" x14ac:dyDescent="0.15">
      <c r="A79" s="141" t="s">
        <v>228</v>
      </c>
      <c r="B79">
        <v>19040.596000000001</v>
      </c>
      <c r="C79">
        <v>36.080300000000001</v>
      </c>
      <c r="D79">
        <v>32.598199999999999</v>
      </c>
      <c r="E79">
        <v>34.1205</v>
      </c>
      <c r="F79">
        <v>249766.23300000001</v>
      </c>
      <c r="G79">
        <v>55.241</v>
      </c>
    </row>
    <row r="80" spans="1:7" x14ac:dyDescent="0.15">
      <c r="A80" s="141" t="s">
        <v>229</v>
      </c>
      <c r="B80">
        <v>7843.6120000000001</v>
      </c>
      <c r="C80">
        <v>33.0124</v>
      </c>
      <c r="D80">
        <v>30.9894</v>
      </c>
      <c r="E80">
        <v>32.7179</v>
      </c>
      <c r="F80">
        <v>143309.405</v>
      </c>
      <c r="G80">
        <v>51.564999999999998</v>
      </c>
    </row>
    <row r="81" spans="1:7" x14ac:dyDescent="0.15">
      <c r="A81" s="141" t="s">
        <v>230</v>
      </c>
      <c r="B81">
        <v>39125.760000000002</v>
      </c>
      <c r="C81">
        <v>38.3093</v>
      </c>
      <c r="D81">
        <v>40.317599999999999</v>
      </c>
      <c r="E81">
        <v>41.310299999999998</v>
      </c>
      <c r="F81">
        <v>360923.71</v>
      </c>
      <c r="G81">
        <v>38.781999999999996</v>
      </c>
    </row>
    <row r="82" spans="1:7" x14ac:dyDescent="0.15">
      <c r="A82" s="141" t="s">
        <v>231</v>
      </c>
      <c r="B82">
        <v>18994.612000000001</v>
      </c>
      <c r="C82">
        <v>37.183100000000003</v>
      </c>
      <c r="D82">
        <v>37.830300000000001</v>
      </c>
      <c r="E82">
        <v>40.010300000000001</v>
      </c>
      <c r="F82">
        <v>210155.49900000001</v>
      </c>
      <c r="G82">
        <v>33.470999999999997</v>
      </c>
    </row>
    <row r="83" spans="1:7" x14ac:dyDescent="0.15">
      <c r="A83" s="141" t="s">
        <v>232</v>
      </c>
      <c r="B83">
        <v>9389.5159999999996</v>
      </c>
      <c r="C83">
        <v>35.799500000000002</v>
      </c>
      <c r="D83">
        <v>35.642600000000002</v>
      </c>
      <c r="E83">
        <v>38.692599999999999</v>
      </c>
      <c r="F83">
        <v>126083.476</v>
      </c>
      <c r="G83">
        <v>29.574000000000002</v>
      </c>
    </row>
    <row r="84" spans="1:7" x14ac:dyDescent="0.15">
      <c r="A84" s="141" t="s">
        <v>233</v>
      </c>
      <c r="B84">
        <v>4755.6400000000003</v>
      </c>
      <c r="C84">
        <v>33.9602</v>
      </c>
      <c r="D84">
        <v>33.770899999999997</v>
      </c>
      <c r="E84">
        <v>37.251100000000001</v>
      </c>
      <c r="F84">
        <v>73919.78</v>
      </c>
      <c r="G84">
        <v>26.838999999999999</v>
      </c>
    </row>
    <row r="85" spans="1:7" x14ac:dyDescent="0.15">
      <c r="A85" s="141" t="s">
        <v>234</v>
      </c>
      <c r="B85">
        <v>25560.964</v>
      </c>
      <c r="C85">
        <v>37.610900000000001</v>
      </c>
      <c r="D85">
        <v>45.1447</v>
      </c>
      <c r="E85">
        <v>42.776499999999999</v>
      </c>
      <c r="F85">
        <v>482959.98800000001</v>
      </c>
      <c r="G85">
        <v>64.12</v>
      </c>
    </row>
    <row r="86" spans="1:7" x14ac:dyDescent="0.15">
      <c r="A86" s="141" t="s">
        <v>235</v>
      </c>
      <c r="B86">
        <v>9216.5040000000008</v>
      </c>
      <c r="C86">
        <v>37.0458</v>
      </c>
      <c r="D86">
        <v>44.538899999999998</v>
      </c>
      <c r="E86">
        <v>42.0991</v>
      </c>
      <c r="F86">
        <v>254441.70699999999</v>
      </c>
      <c r="G86">
        <v>54.938000000000002</v>
      </c>
    </row>
    <row r="87" spans="1:7" x14ac:dyDescent="0.15">
      <c r="A87" s="141" t="s">
        <v>236</v>
      </c>
      <c r="B87">
        <v>4546.7839999999997</v>
      </c>
      <c r="C87">
        <v>36.182400000000001</v>
      </c>
      <c r="D87">
        <v>43.600099999999998</v>
      </c>
      <c r="E87">
        <v>41.111899999999999</v>
      </c>
      <c r="F87">
        <v>128744.50900000001</v>
      </c>
      <c r="G87">
        <v>46.542999999999999</v>
      </c>
    </row>
    <row r="88" spans="1:7" x14ac:dyDescent="0.15">
      <c r="A88" s="141" t="s">
        <v>237</v>
      </c>
      <c r="B88">
        <v>2197.5160000000001</v>
      </c>
      <c r="C88">
        <v>34.709499999999998</v>
      </c>
      <c r="D88">
        <v>42.3048</v>
      </c>
      <c r="E88">
        <v>39.847099999999998</v>
      </c>
      <c r="F88">
        <v>64420.175999999999</v>
      </c>
      <c r="G88">
        <v>41.912999999999997</v>
      </c>
    </row>
    <row r="89" spans="1:7" x14ac:dyDescent="0.15">
      <c r="A89" s="141" t="s">
        <v>118</v>
      </c>
      <c r="B89">
        <v>10049.459999999999</v>
      </c>
      <c r="C89">
        <v>37.982100000000003</v>
      </c>
      <c r="D89">
        <v>39.7196</v>
      </c>
      <c r="E89">
        <v>43.086100000000002</v>
      </c>
      <c r="F89">
        <v>109766.902</v>
      </c>
      <c r="G89">
        <v>13.425000000000001</v>
      </c>
    </row>
    <row r="90" spans="1:7" x14ac:dyDescent="0.15">
      <c r="A90" s="141" t="s">
        <v>119</v>
      </c>
      <c r="B90">
        <v>4716.0119999999997</v>
      </c>
      <c r="C90">
        <v>36.882899999999999</v>
      </c>
      <c r="D90">
        <v>39.188499999999998</v>
      </c>
      <c r="E90">
        <v>41.976900000000001</v>
      </c>
      <c r="F90">
        <v>64217.017999999996</v>
      </c>
      <c r="G90">
        <v>11.602</v>
      </c>
    </row>
    <row r="91" spans="1:7" x14ac:dyDescent="0.15">
      <c r="A91" s="141" t="s">
        <v>120</v>
      </c>
      <c r="B91">
        <v>2395.3679999999999</v>
      </c>
      <c r="C91">
        <v>35.298000000000002</v>
      </c>
      <c r="D91">
        <v>38.473300000000002</v>
      </c>
      <c r="E91">
        <v>40.611199999999997</v>
      </c>
      <c r="F91">
        <v>37495.017</v>
      </c>
      <c r="G91">
        <v>10.231999999999999</v>
      </c>
    </row>
    <row r="92" spans="1:7" x14ac:dyDescent="0.15">
      <c r="A92" s="141" t="s">
        <v>121</v>
      </c>
      <c r="B92">
        <v>1118.848</v>
      </c>
      <c r="C92">
        <v>33.0503</v>
      </c>
      <c r="D92">
        <v>37.386899999999997</v>
      </c>
      <c r="E92">
        <v>38.915300000000002</v>
      </c>
      <c r="F92">
        <v>20297.456999999999</v>
      </c>
      <c r="G92">
        <v>9.3390000000000004</v>
      </c>
    </row>
    <row r="93" spans="1:7" x14ac:dyDescent="0.15">
      <c r="A93" s="141" t="s">
        <v>122</v>
      </c>
      <c r="B93">
        <v>8795.8359999999993</v>
      </c>
      <c r="C93">
        <v>38.905099999999997</v>
      </c>
      <c r="D93">
        <v>43.942399999999999</v>
      </c>
      <c r="E93">
        <v>45.045099999999998</v>
      </c>
      <c r="F93">
        <v>112267.54399999999</v>
      </c>
      <c r="G93">
        <v>14.958</v>
      </c>
    </row>
    <row r="94" spans="1:7" x14ac:dyDescent="0.15">
      <c r="A94" s="141" t="s">
        <v>123</v>
      </c>
      <c r="B94">
        <v>4372.5479999999998</v>
      </c>
      <c r="C94">
        <v>37.8598</v>
      </c>
      <c r="D94">
        <v>43.104599999999998</v>
      </c>
      <c r="E94">
        <v>43.617800000000003</v>
      </c>
      <c r="F94">
        <v>67362.41</v>
      </c>
      <c r="G94">
        <v>13.614000000000001</v>
      </c>
    </row>
    <row r="95" spans="1:7" x14ac:dyDescent="0.15">
      <c r="A95" s="141" t="s">
        <v>124</v>
      </c>
      <c r="B95">
        <v>2229.4119999999998</v>
      </c>
      <c r="C95">
        <v>36.365299999999998</v>
      </c>
      <c r="D95">
        <v>42.003799999999998</v>
      </c>
      <c r="E95">
        <v>41.985700000000001</v>
      </c>
      <c r="F95">
        <v>37832.017</v>
      </c>
      <c r="G95">
        <v>12.148999999999999</v>
      </c>
    </row>
    <row r="96" spans="1:7" x14ac:dyDescent="0.15">
      <c r="A96" s="141" t="s">
        <v>125</v>
      </c>
      <c r="B96">
        <v>1095.6679999999999</v>
      </c>
      <c r="C96">
        <v>34.297600000000003</v>
      </c>
      <c r="D96">
        <v>40.647199999999998</v>
      </c>
      <c r="E96">
        <v>40.146999999999998</v>
      </c>
      <c r="F96">
        <v>20524.061000000002</v>
      </c>
      <c r="G96">
        <v>9.7210000000000001</v>
      </c>
    </row>
    <row r="97" spans="1:7" x14ac:dyDescent="0.15">
      <c r="A97" s="141" t="s">
        <v>238</v>
      </c>
      <c r="B97">
        <v>6881.7</v>
      </c>
      <c r="C97">
        <v>39.660400000000003</v>
      </c>
      <c r="D97">
        <v>43.660600000000002</v>
      </c>
      <c r="E97">
        <v>44.869</v>
      </c>
      <c r="F97">
        <v>101786.696</v>
      </c>
      <c r="G97">
        <v>15.355</v>
      </c>
    </row>
    <row r="98" spans="1:7" x14ac:dyDescent="0.15">
      <c r="A98" s="141" t="s">
        <v>239</v>
      </c>
      <c r="B98">
        <v>3234.924</v>
      </c>
      <c r="C98">
        <v>38.463799999999999</v>
      </c>
      <c r="D98">
        <v>42.893599999999999</v>
      </c>
      <c r="E98">
        <v>44.1813</v>
      </c>
      <c r="F98">
        <v>61118.133000000002</v>
      </c>
      <c r="G98">
        <v>13.928000000000001</v>
      </c>
    </row>
    <row r="99" spans="1:7" x14ac:dyDescent="0.15">
      <c r="A99" s="141" t="s">
        <v>240</v>
      </c>
      <c r="B99">
        <v>1538.796</v>
      </c>
      <c r="C99">
        <v>36.760100000000001</v>
      </c>
      <c r="D99">
        <v>41.898099999999999</v>
      </c>
      <c r="E99">
        <v>43.176499999999997</v>
      </c>
      <c r="F99">
        <v>32897.004000000001</v>
      </c>
      <c r="G99">
        <v>12.643000000000001</v>
      </c>
    </row>
    <row r="100" spans="1:7" x14ac:dyDescent="0.15">
      <c r="A100" s="141" t="s">
        <v>241</v>
      </c>
      <c r="B100">
        <v>688.43200000000002</v>
      </c>
      <c r="C100">
        <v>34.535200000000003</v>
      </c>
      <c r="D100">
        <v>40.619599999999998</v>
      </c>
      <c r="E100">
        <v>41.830500000000001</v>
      </c>
      <c r="F100">
        <v>16829.8</v>
      </c>
      <c r="G100">
        <v>10.398</v>
      </c>
    </row>
    <row r="101" spans="1:7" x14ac:dyDescent="0.15">
      <c r="A101" s="141" t="s">
        <v>242</v>
      </c>
      <c r="B101">
        <v>5760.1279999999997</v>
      </c>
      <c r="C101">
        <v>44.8337</v>
      </c>
      <c r="D101">
        <v>47.1982</v>
      </c>
      <c r="E101">
        <v>48.170200000000001</v>
      </c>
      <c r="F101">
        <v>74762.33</v>
      </c>
      <c r="G101">
        <v>15.618</v>
      </c>
    </row>
    <row r="102" spans="1:7" x14ac:dyDescent="0.15">
      <c r="A102" s="141" t="s">
        <v>243</v>
      </c>
      <c r="B102">
        <v>3528.9960000000001</v>
      </c>
      <c r="C102">
        <v>42.592500000000001</v>
      </c>
      <c r="D102">
        <v>45.655900000000003</v>
      </c>
      <c r="E102">
        <v>46.431699999999999</v>
      </c>
      <c r="F102">
        <v>52001.964</v>
      </c>
      <c r="G102">
        <v>14.372</v>
      </c>
    </row>
    <row r="103" spans="1:7" x14ac:dyDescent="0.15">
      <c r="A103" s="141" t="s">
        <v>244</v>
      </c>
      <c r="B103">
        <v>1962.212</v>
      </c>
      <c r="C103">
        <v>39.784999999999997</v>
      </c>
      <c r="D103">
        <v>44.004800000000003</v>
      </c>
      <c r="E103">
        <v>44.559800000000003</v>
      </c>
      <c r="F103">
        <v>32718.959999999999</v>
      </c>
      <c r="G103">
        <v>12.435</v>
      </c>
    </row>
    <row r="104" spans="1:7" x14ac:dyDescent="0.15">
      <c r="A104" s="141" t="s">
        <v>245</v>
      </c>
      <c r="B104">
        <v>995.24800000000005</v>
      </c>
      <c r="C104">
        <v>36.605400000000003</v>
      </c>
      <c r="D104">
        <v>42.357500000000002</v>
      </c>
      <c r="E104">
        <v>42.671399999999998</v>
      </c>
      <c r="F104">
        <v>18980.971000000001</v>
      </c>
      <c r="G104">
        <v>10.682</v>
      </c>
    </row>
    <row r="105" spans="1:7" x14ac:dyDescent="0.15">
      <c r="A105" s="141" t="s">
        <v>126</v>
      </c>
      <c r="B105">
        <v>4192.76</v>
      </c>
      <c r="C105">
        <v>38.5488</v>
      </c>
      <c r="D105">
        <v>45.8249</v>
      </c>
      <c r="E105">
        <v>46.024500000000003</v>
      </c>
      <c r="F105">
        <v>49875.813999999998</v>
      </c>
      <c r="G105">
        <v>6.4130000000000003</v>
      </c>
    </row>
    <row r="106" spans="1:7" x14ac:dyDescent="0.15">
      <c r="A106" s="141" t="s">
        <v>127</v>
      </c>
      <c r="B106">
        <v>1770.2360000000001</v>
      </c>
      <c r="C106">
        <v>36.945</v>
      </c>
      <c r="D106">
        <v>44.648299999999999</v>
      </c>
      <c r="E106">
        <v>44.827599999999997</v>
      </c>
      <c r="F106">
        <v>27203.359</v>
      </c>
      <c r="G106">
        <v>5.4119999999999999</v>
      </c>
    </row>
    <row r="107" spans="1:7" x14ac:dyDescent="0.15">
      <c r="A107" s="141" t="s">
        <v>128</v>
      </c>
      <c r="B107">
        <v>815.12</v>
      </c>
      <c r="C107">
        <v>34.945599999999999</v>
      </c>
      <c r="D107">
        <v>43.138300000000001</v>
      </c>
      <c r="E107">
        <v>43.424300000000002</v>
      </c>
      <c r="F107">
        <v>15013.567999999999</v>
      </c>
      <c r="G107">
        <v>4.6420000000000003</v>
      </c>
    </row>
    <row r="108" spans="1:7" x14ac:dyDescent="0.15">
      <c r="A108" s="141" t="s">
        <v>129</v>
      </c>
      <c r="B108">
        <v>391.72</v>
      </c>
      <c r="C108">
        <v>32.339799999999997</v>
      </c>
      <c r="D108">
        <v>41.212899999999998</v>
      </c>
      <c r="E108">
        <v>41.753999999999998</v>
      </c>
      <c r="F108">
        <v>7722.6350000000002</v>
      </c>
      <c r="G108">
        <v>3.952</v>
      </c>
    </row>
    <row r="109" spans="1:7" x14ac:dyDescent="0.15">
      <c r="A109" s="141" t="s">
        <v>130</v>
      </c>
      <c r="B109">
        <v>2478.3719999999998</v>
      </c>
      <c r="C109">
        <v>40.599200000000003</v>
      </c>
      <c r="D109">
        <v>46.092799999999997</v>
      </c>
      <c r="E109">
        <v>47.175600000000003</v>
      </c>
      <c r="F109">
        <v>38841.822</v>
      </c>
      <c r="G109">
        <v>6.665</v>
      </c>
    </row>
    <row r="110" spans="1:7" x14ac:dyDescent="0.15">
      <c r="A110" s="141" t="s">
        <v>131</v>
      </c>
      <c r="B110">
        <v>1135.0160000000001</v>
      </c>
      <c r="C110">
        <v>39.490099999999998</v>
      </c>
      <c r="D110">
        <v>45.5182</v>
      </c>
      <c r="E110">
        <v>45.938200000000002</v>
      </c>
      <c r="F110">
        <v>21262.258000000002</v>
      </c>
      <c r="G110">
        <v>5.72</v>
      </c>
    </row>
    <row r="111" spans="1:7" x14ac:dyDescent="0.15">
      <c r="A111" s="141" t="s">
        <v>132</v>
      </c>
      <c r="B111">
        <v>533.87199999999996</v>
      </c>
      <c r="C111">
        <v>37.923699999999997</v>
      </c>
      <c r="D111">
        <v>44.6965</v>
      </c>
      <c r="E111">
        <v>44.284300000000002</v>
      </c>
      <c r="F111">
        <v>11242.117</v>
      </c>
      <c r="G111">
        <v>5.0919999999999996</v>
      </c>
    </row>
    <row r="112" spans="1:7" x14ac:dyDescent="0.15">
      <c r="A112" s="141" t="s">
        <v>133</v>
      </c>
      <c r="B112">
        <v>242.38399999999999</v>
      </c>
      <c r="C112">
        <v>35.822800000000001</v>
      </c>
      <c r="D112">
        <v>43.556399999999996</v>
      </c>
      <c r="E112">
        <v>42.437399999999997</v>
      </c>
      <c r="F112">
        <v>5610.66</v>
      </c>
      <c r="G112">
        <v>4.484</v>
      </c>
    </row>
    <row r="113" spans="1:7" x14ac:dyDescent="0.15">
      <c r="A113" s="141" t="s">
        <v>134</v>
      </c>
      <c r="B113">
        <v>945.16399999999999</v>
      </c>
      <c r="C113">
        <v>43.478999999999999</v>
      </c>
      <c r="D113">
        <v>47.100299999999997</v>
      </c>
      <c r="E113">
        <v>48.100499999999997</v>
      </c>
      <c r="F113">
        <v>17373.864000000001</v>
      </c>
      <c r="G113">
        <v>4.5830000000000002</v>
      </c>
    </row>
    <row r="114" spans="1:7" x14ac:dyDescent="0.15">
      <c r="A114" s="141" t="s">
        <v>135</v>
      </c>
      <c r="B114">
        <v>515.13599999999997</v>
      </c>
      <c r="C114">
        <v>42.211799999999997</v>
      </c>
      <c r="D114">
        <v>46.287399999999998</v>
      </c>
      <c r="E114">
        <v>47.100200000000001</v>
      </c>
      <c r="F114">
        <v>9994.5300000000007</v>
      </c>
      <c r="G114">
        <v>4.3899999999999997</v>
      </c>
    </row>
    <row r="115" spans="1:7" x14ac:dyDescent="0.15">
      <c r="A115" s="141" t="s">
        <v>136</v>
      </c>
      <c r="B115">
        <v>294.80399999999997</v>
      </c>
      <c r="C115">
        <v>40.440600000000003</v>
      </c>
      <c r="D115">
        <v>45.259</v>
      </c>
      <c r="E115">
        <v>45.7851</v>
      </c>
      <c r="F115">
        <v>5510.9260000000004</v>
      </c>
      <c r="G115">
        <v>4.2469999999999999</v>
      </c>
    </row>
    <row r="116" spans="1:7" x14ac:dyDescent="0.15">
      <c r="A116" s="141" t="s">
        <v>137</v>
      </c>
      <c r="B116">
        <v>164.08</v>
      </c>
      <c r="C116">
        <v>37.877299999999998</v>
      </c>
      <c r="D116">
        <v>43.420499999999997</v>
      </c>
      <c r="E116">
        <v>43.831699999999998</v>
      </c>
      <c r="F116">
        <v>3204.895</v>
      </c>
      <c r="G116">
        <v>4.1710000000000003</v>
      </c>
    </row>
    <row r="117" spans="1:7" x14ac:dyDescent="0.15">
      <c r="A117" s="141" t="s">
        <v>138</v>
      </c>
      <c r="B117">
        <v>1338.5239999999999</v>
      </c>
      <c r="C117">
        <v>42.856999999999999</v>
      </c>
      <c r="D117">
        <v>48.640900000000002</v>
      </c>
      <c r="E117">
        <v>48.448</v>
      </c>
      <c r="F117">
        <v>20052.781999999999</v>
      </c>
      <c r="G117">
        <v>4.7370000000000001</v>
      </c>
    </row>
    <row r="118" spans="1:7" x14ac:dyDescent="0.15">
      <c r="A118" s="141" t="s">
        <v>139</v>
      </c>
      <c r="B118">
        <v>722.00400000000002</v>
      </c>
      <c r="C118">
        <v>41.578000000000003</v>
      </c>
      <c r="D118">
        <v>47.773699999999998</v>
      </c>
      <c r="E118">
        <v>47.318899999999999</v>
      </c>
      <c r="F118">
        <v>11417.828</v>
      </c>
      <c r="G118">
        <v>4.3179999999999996</v>
      </c>
    </row>
    <row r="119" spans="1:7" x14ac:dyDescent="0.15">
      <c r="A119" s="141" t="s">
        <v>140</v>
      </c>
      <c r="B119">
        <v>406.72399999999999</v>
      </c>
      <c r="C119">
        <v>39.695399999999999</v>
      </c>
      <c r="D119">
        <v>46.687100000000001</v>
      </c>
      <c r="E119">
        <v>45.746200000000002</v>
      </c>
      <c r="F119">
        <v>6678.2790000000005</v>
      </c>
      <c r="G119">
        <v>4.2590000000000003</v>
      </c>
    </row>
    <row r="120" spans="1:7" x14ac:dyDescent="0.15">
      <c r="A120" s="141" t="s">
        <v>141</v>
      </c>
      <c r="B120">
        <v>223.12799999999999</v>
      </c>
      <c r="C120">
        <v>36.939700000000002</v>
      </c>
      <c r="D120">
        <v>45.195900000000002</v>
      </c>
      <c r="E120">
        <v>43.4422</v>
      </c>
      <c r="F120">
        <v>3830.4870000000001</v>
      </c>
      <c r="G120">
        <v>3.952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16956.848000000002</v>
      </c>
      <c r="C145">
        <v>40.151600000000002</v>
      </c>
      <c r="D145">
        <v>48.551099999999998</v>
      </c>
      <c r="E145">
        <v>46.408799999999999</v>
      </c>
      <c r="F145">
        <v>209296.375</v>
      </c>
      <c r="G145">
        <v>32.433999999999997</v>
      </c>
    </row>
    <row r="146" spans="1:7" x14ac:dyDescent="0.15">
      <c r="A146" s="141" t="s">
        <v>255</v>
      </c>
      <c r="B146">
        <v>8569.2720000000008</v>
      </c>
      <c r="C146">
        <v>39.536099999999998</v>
      </c>
      <c r="D146">
        <v>47.670499999999997</v>
      </c>
      <c r="E146">
        <v>45.270400000000002</v>
      </c>
      <c r="F146">
        <v>122289.844</v>
      </c>
      <c r="G146">
        <v>28.442</v>
      </c>
    </row>
    <row r="147" spans="1:7" x14ac:dyDescent="0.15">
      <c r="A147" s="141" t="s">
        <v>256</v>
      </c>
      <c r="B147">
        <v>4666.1120000000001</v>
      </c>
      <c r="C147">
        <v>38.5306</v>
      </c>
      <c r="D147">
        <v>46.5197</v>
      </c>
      <c r="E147">
        <v>43.863399999999999</v>
      </c>
      <c r="F147">
        <v>66625.633000000002</v>
      </c>
      <c r="G147">
        <v>25.344999999999999</v>
      </c>
    </row>
    <row r="148" spans="1:7" x14ac:dyDescent="0.15">
      <c r="A148" s="141" t="s">
        <v>257</v>
      </c>
      <c r="B148">
        <v>2533.16</v>
      </c>
      <c r="C148">
        <v>36.971200000000003</v>
      </c>
      <c r="D148">
        <v>45.174100000000003</v>
      </c>
      <c r="E148">
        <v>42.262999999999998</v>
      </c>
      <c r="F148">
        <v>34853.491999999998</v>
      </c>
      <c r="G148">
        <v>21.89</v>
      </c>
    </row>
    <row r="149" spans="1:7" x14ac:dyDescent="0.15">
      <c r="A149" s="141" t="s">
        <v>258</v>
      </c>
      <c r="B149">
        <v>94006.952000000005</v>
      </c>
      <c r="C149">
        <v>41.659700000000001</v>
      </c>
      <c r="D149">
        <v>36.457900000000002</v>
      </c>
      <c r="E149">
        <v>37.4666</v>
      </c>
      <c r="F149">
        <v>377633.625</v>
      </c>
      <c r="G149">
        <v>33.393000000000001</v>
      </c>
    </row>
    <row r="150" spans="1:7" x14ac:dyDescent="0.15">
      <c r="A150" s="141" t="s">
        <v>259</v>
      </c>
      <c r="B150">
        <v>48124.512000000002</v>
      </c>
      <c r="C150">
        <v>38.880600000000001</v>
      </c>
      <c r="D150">
        <v>34.134900000000002</v>
      </c>
      <c r="E150">
        <v>35.4771</v>
      </c>
      <c r="F150">
        <v>247662.516</v>
      </c>
      <c r="G150">
        <v>28.213999999999999</v>
      </c>
    </row>
    <row r="151" spans="1:7" x14ac:dyDescent="0.15">
      <c r="A151" s="141" t="s">
        <v>260</v>
      </c>
      <c r="B151">
        <v>22293.64</v>
      </c>
      <c r="C151">
        <v>35.784799999999997</v>
      </c>
      <c r="D151">
        <v>32.194600000000001</v>
      </c>
      <c r="E151">
        <v>33.7639</v>
      </c>
      <c r="F151">
        <v>161161.625</v>
      </c>
      <c r="G151">
        <v>24.951000000000001</v>
      </c>
    </row>
    <row r="152" spans="1:7" x14ac:dyDescent="0.15">
      <c r="A152" s="141" t="s">
        <v>261</v>
      </c>
      <c r="B152">
        <v>9342.0640000000003</v>
      </c>
      <c r="C152">
        <v>32.7624</v>
      </c>
      <c r="D152">
        <v>30.512799999999999</v>
      </c>
      <c r="E152">
        <v>32.282499999999999</v>
      </c>
      <c r="F152">
        <v>91538.687999999995</v>
      </c>
      <c r="G152">
        <v>21.984000000000002</v>
      </c>
    </row>
    <row r="153" spans="1:7" x14ac:dyDescent="0.15">
      <c r="A153" s="141" t="s">
        <v>262</v>
      </c>
      <c r="B153">
        <v>47047.495999999999</v>
      </c>
      <c r="C153">
        <v>38.8932</v>
      </c>
      <c r="D153">
        <v>40.988799999999998</v>
      </c>
      <c r="E153">
        <v>41.248199999999997</v>
      </c>
      <c r="F153">
        <v>202433.15599999999</v>
      </c>
      <c r="G153">
        <v>18.376000000000001</v>
      </c>
    </row>
    <row r="154" spans="1:7" x14ac:dyDescent="0.15">
      <c r="A154" s="141" t="s">
        <v>263</v>
      </c>
      <c r="B154">
        <v>23178.28</v>
      </c>
      <c r="C154">
        <v>37.517899999999997</v>
      </c>
      <c r="D154">
        <v>38.495699999999999</v>
      </c>
      <c r="E154">
        <v>39.785600000000002</v>
      </c>
      <c r="F154">
        <v>121186.20299999999</v>
      </c>
      <c r="G154">
        <v>15.826000000000001</v>
      </c>
    </row>
    <row r="155" spans="1:7" x14ac:dyDescent="0.15">
      <c r="A155" s="141" t="s">
        <v>264</v>
      </c>
      <c r="B155">
        <v>12054.72</v>
      </c>
      <c r="C155">
        <v>35.950299999999999</v>
      </c>
      <c r="D155">
        <v>36.335799999999999</v>
      </c>
      <c r="E155">
        <v>38.345700000000001</v>
      </c>
      <c r="F155">
        <v>76582.366999999998</v>
      </c>
      <c r="G155">
        <v>14.382999999999999</v>
      </c>
    </row>
    <row r="156" spans="1:7" x14ac:dyDescent="0.15">
      <c r="A156" s="141" t="s">
        <v>265</v>
      </c>
      <c r="B156">
        <v>5904.9520000000002</v>
      </c>
      <c r="C156">
        <v>34.032699999999998</v>
      </c>
      <c r="D156">
        <v>33.950000000000003</v>
      </c>
      <c r="E156">
        <v>36.668300000000002</v>
      </c>
      <c r="F156">
        <v>46972.777000000002</v>
      </c>
      <c r="G156">
        <v>12.804</v>
      </c>
    </row>
    <row r="157" spans="1:7" x14ac:dyDescent="0.15">
      <c r="A157" s="141" t="s">
        <v>266</v>
      </c>
      <c r="B157">
        <v>24581.792000000001</v>
      </c>
      <c r="C157">
        <v>37.510399999999997</v>
      </c>
      <c r="D157">
        <v>44.785899999999998</v>
      </c>
      <c r="E157">
        <v>42.483199999999997</v>
      </c>
      <c r="F157">
        <v>299286.06199999998</v>
      </c>
      <c r="G157">
        <v>29.736000000000001</v>
      </c>
    </row>
    <row r="158" spans="1:7" x14ac:dyDescent="0.15">
      <c r="A158" s="141" t="s">
        <v>267</v>
      </c>
      <c r="B158">
        <v>10472.103999999999</v>
      </c>
      <c r="C158">
        <v>36.869500000000002</v>
      </c>
      <c r="D158">
        <v>44.0578</v>
      </c>
      <c r="E158">
        <v>41.6952</v>
      </c>
      <c r="F158">
        <v>159781.59400000001</v>
      </c>
      <c r="G158">
        <v>24.675000000000001</v>
      </c>
    </row>
    <row r="159" spans="1:7" x14ac:dyDescent="0.15">
      <c r="A159" s="141" t="s">
        <v>268</v>
      </c>
      <c r="B159">
        <v>5249.4880000000003</v>
      </c>
      <c r="C159">
        <v>35.842199999999998</v>
      </c>
      <c r="D159">
        <v>43.006599999999999</v>
      </c>
      <c r="E159">
        <v>40.592700000000001</v>
      </c>
      <c r="F159">
        <v>89322.375</v>
      </c>
      <c r="G159">
        <v>21.31</v>
      </c>
    </row>
    <row r="160" spans="1:7" x14ac:dyDescent="0.15">
      <c r="A160" s="141" t="s">
        <v>269</v>
      </c>
      <c r="B160">
        <v>2603.288</v>
      </c>
      <c r="C160">
        <v>34.252000000000002</v>
      </c>
      <c r="D160">
        <v>41.682400000000001</v>
      </c>
      <c r="E160">
        <v>39.417999999999999</v>
      </c>
      <c r="F160">
        <v>45799.862999999998</v>
      </c>
      <c r="G160">
        <v>16.716999999999999</v>
      </c>
    </row>
    <row r="161" spans="1:7" x14ac:dyDescent="0.15">
      <c r="A161" s="141" t="s">
        <v>142</v>
      </c>
      <c r="B161">
        <v>8286.7055999999993</v>
      </c>
      <c r="C161">
        <v>37.956000000000003</v>
      </c>
      <c r="D161">
        <v>39.539200000000001</v>
      </c>
      <c r="E161">
        <v>42.518599999999999</v>
      </c>
      <c r="F161">
        <v>333764.90600000002</v>
      </c>
      <c r="G161">
        <v>26.062999999999999</v>
      </c>
    </row>
    <row r="162" spans="1:7" x14ac:dyDescent="0.15">
      <c r="A162" s="141" t="s">
        <v>143</v>
      </c>
      <c r="B162">
        <v>3929.5632000000001</v>
      </c>
      <c r="C162">
        <v>36.596800000000002</v>
      </c>
      <c r="D162">
        <v>38.835500000000003</v>
      </c>
      <c r="E162">
        <v>41.304900000000004</v>
      </c>
      <c r="F162">
        <v>201672.81200000001</v>
      </c>
      <c r="G162">
        <v>22.567</v>
      </c>
    </row>
    <row r="163" spans="1:7" x14ac:dyDescent="0.15">
      <c r="A163" s="141" t="s">
        <v>144</v>
      </c>
      <c r="B163">
        <v>1926.9936</v>
      </c>
      <c r="C163">
        <v>34.761800000000001</v>
      </c>
      <c r="D163">
        <v>37.932299999999998</v>
      </c>
      <c r="E163">
        <v>39.7776</v>
      </c>
      <c r="F163">
        <v>124305.391</v>
      </c>
      <c r="G163">
        <v>19.536000000000001</v>
      </c>
    </row>
    <row r="164" spans="1:7" x14ac:dyDescent="0.15">
      <c r="A164" s="141" t="s">
        <v>145</v>
      </c>
      <c r="B164">
        <v>914.47680000000003</v>
      </c>
      <c r="C164">
        <v>32.429200000000002</v>
      </c>
      <c r="D164">
        <v>36.861199999999997</v>
      </c>
      <c r="E164">
        <v>38.122199999999999</v>
      </c>
      <c r="F164">
        <v>71742.851999999999</v>
      </c>
      <c r="G164">
        <v>16.707000000000001</v>
      </c>
    </row>
    <row r="165" spans="1:7" x14ac:dyDescent="0.15">
      <c r="A165" s="141" t="s">
        <v>146</v>
      </c>
      <c r="B165">
        <v>9529.5488000000005</v>
      </c>
      <c r="C165">
        <v>38.694400000000002</v>
      </c>
      <c r="D165">
        <v>43.490099999999998</v>
      </c>
      <c r="E165">
        <v>44.355699999999999</v>
      </c>
      <c r="F165">
        <v>359904.21899999998</v>
      </c>
      <c r="G165">
        <v>34.268999999999998</v>
      </c>
    </row>
    <row r="166" spans="1:7" x14ac:dyDescent="0.15">
      <c r="A166" s="141" t="s">
        <v>147</v>
      </c>
      <c r="B166">
        <v>4876.9488000000001</v>
      </c>
      <c r="C166">
        <v>37.4604</v>
      </c>
      <c r="D166">
        <v>42.4861</v>
      </c>
      <c r="E166">
        <v>42.842399999999998</v>
      </c>
      <c r="F166">
        <v>222579.32800000001</v>
      </c>
      <c r="G166">
        <v>30.79</v>
      </c>
    </row>
    <row r="167" spans="1:7" x14ac:dyDescent="0.15">
      <c r="A167" s="141" t="s">
        <v>148</v>
      </c>
      <c r="B167">
        <v>2483.9184</v>
      </c>
      <c r="C167">
        <v>35.772500000000001</v>
      </c>
      <c r="D167">
        <v>41.168399999999998</v>
      </c>
      <c r="E167">
        <v>41.037799999999997</v>
      </c>
      <c r="F167">
        <v>132665.766</v>
      </c>
      <c r="G167">
        <v>26.31</v>
      </c>
    </row>
    <row r="168" spans="1:7" x14ac:dyDescent="0.15">
      <c r="A168" s="141" t="s">
        <v>149</v>
      </c>
      <c r="B168">
        <v>1231.9359999999999</v>
      </c>
      <c r="C168">
        <v>33.692399999999999</v>
      </c>
      <c r="D168">
        <v>39.7911</v>
      </c>
      <c r="E168">
        <v>39.183399999999999</v>
      </c>
      <c r="F168">
        <v>76058.866999999998</v>
      </c>
      <c r="G168">
        <v>22.954000000000001</v>
      </c>
    </row>
    <row r="169" spans="1:7" x14ac:dyDescent="0.15">
      <c r="A169" s="141" t="s">
        <v>270</v>
      </c>
      <c r="B169">
        <v>6533.2079999999996</v>
      </c>
      <c r="C169">
        <v>39.7879</v>
      </c>
      <c r="D169">
        <v>43.439799999999998</v>
      </c>
      <c r="E169">
        <v>44.282699999999998</v>
      </c>
      <c r="F169">
        <v>314954.75</v>
      </c>
      <c r="G169">
        <v>36.073</v>
      </c>
    </row>
    <row r="170" spans="1:7" x14ac:dyDescent="0.15">
      <c r="A170" s="141" t="s">
        <v>271</v>
      </c>
      <c r="B170">
        <v>3117.8303999999998</v>
      </c>
      <c r="C170">
        <v>38.489899999999999</v>
      </c>
      <c r="D170">
        <v>42.522100000000002</v>
      </c>
      <c r="E170">
        <v>43.353400000000001</v>
      </c>
      <c r="F170">
        <v>188536.359</v>
      </c>
      <c r="G170">
        <v>29.754999999999999</v>
      </c>
    </row>
    <row r="171" spans="1:7" x14ac:dyDescent="0.15">
      <c r="A171" s="141" t="s">
        <v>272</v>
      </c>
      <c r="B171">
        <v>1502.336</v>
      </c>
      <c r="C171">
        <v>36.678899999999999</v>
      </c>
      <c r="D171">
        <v>41.314300000000003</v>
      </c>
      <c r="E171">
        <v>41.987400000000001</v>
      </c>
      <c r="F171">
        <v>108469.727</v>
      </c>
      <c r="G171">
        <v>26.861999999999998</v>
      </c>
    </row>
    <row r="172" spans="1:7" x14ac:dyDescent="0.15">
      <c r="A172" s="141" t="s">
        <v>273</v>
      </c>
      <c r="B172">
        <v>704.23839999999996</v>
      </c>
      <c r="C172">
        <v>34.3949</v>
      </c>
      <c r="D172">
        <v>40.1631</v>
      </c>
      <c r="E172">
        <v>40.681199999999997</v>
      </c>
      <c r="F172">
        <v>58521.684000000001</v>
      </c>
      <c r="G172">
        <v>22.573</v>
      </c>
    </row>
    <row r="173" spans="1:7" x14ac:dyDescent="0.15">
      <c r="A173" s="141" t="s">
        <v>274</v>
      </c>
      <c r="B173">
        <v>6955.0496000000003</v>
      </c>
      <c r="C173">
        <v>43.311999999999998</v>
      </c>
      <c r="D173">
        <v>46.081600000000002</v>
      </c>
      <c r="E173">
        <v>46.798499999999997</v>
      </c>
      <c r="F173">
        <v>260896.859</v>
      </c>
      <c r="G173">
        <v>37.683</v>
      </c>
    </row>
    <row r="174" spans="1:7" x14ac:dyDescent="0.15">
      <c r="A174" s="141" t="s">
        <v>275</v>
      </c>
      <c r="B174">
        <v>4243.3184000000001</v>
      </c>
      <c r="C174">
        <v>41.000700000000002</v>
      </c>
      <c r="D174">
        <v>44.598700000000001</v>
      </c>
      <c r="E174">
        <v>45.148800000000001</v>
      </c>
      <c r="F174">
        <v>186142.31200000001</v>
      </c>
      <c r="G174">
        <v>33.902000000000001</v>
      </c>
    </row>
    <row r="175" spans="1:7" x14ac:dyDescent="0.15">
      <c r="A175" s="141" t="s">
        <v>276</v>
      </c>
      <c r="B175">
        <v>2344.9856</v>
      </c>
      <c r="C175">
        <v>38.218000000000004</v>
      </c>
      <c r="D175">
        <v>42.956299999999999</v>
      </c>
      <c r="E175">
        <v>43.301499999999997</v>
      </c>
      <c r="F175">
        <v>120712.398</v>
      </c>
      <c r="G175">
        <v>29.341999999999999</v>
      </c>
    </row>
    <row r="176" spans="1:7" x14ac:dyDescent="0.15">
      <c r="A176" s="141" t="s">
        <v>277</v>
      </c>
      <c r="B176">
        <v>1218.3136</v>
      </c>
      <c r="C176">
        <v>35.284399999999998</v>
      </c>
      <c r="D176">
        <v>41.489600000000003</v>
      </c>
      <c r="E176">
        <v>41.579300000000003</v>
      </c>
      <c r="F176">
        <v>71856.125</v>
      </c>
      <c r="G176">
        <v>25.169</v>
      </c>
    </row>
    <row r="177" spans="1:7" x14ac:dyDescent="0.15">
      <c r="A177" s="141" t="s">
        <v>150</v>
      </c>
      <c r="B177" s="71">
        <v>4816.2160000000003</v>
      </c>
      <c r="C177" s="71">
        <v>38.3842</v>
      </c>
      <c r="D177" s="71">
        <v>44.988</v>
      </c>
      <c r="E177" s="71">
        <v>45.284399999999998</v>
      </c>
      <c r="F177" s="71">
        <v>175000.84400000001</v>
      </c>
      <c r="G177" s="71">
        <v>16.268000000000001</v>
      </c>
    </row>
    <row r="178" spans="1:7" x14ac:dyDescent="0.15">
      <c r="A178" s="141" t="s">
        <v>151</v>
      </c>
      <c r="B178" s="71">
        <v>1687.3856000000001</v>
      </c>
      <c r="C178" s="71">
        <v>36.392600000000002</v>
      </c>
      <c r="D178" s="71">
        <v>43.793900000000001</v>
      </c>
      <c r="E178" s="71">
        <v>44.099499999999999</v>
      </c>
      <c r="F178" s="71">
        <v>90814.148000000001</v>
      </c>
      <c r="G178" s="71">
        <v>12.185</v>
      </c>
    </row>
    <row r="179" spans="1:7" x14ac:dyDescent="0.15">
      <c r="A179" s="141" t="s">
        <v>152</v>
      </c>
      <c r="B179" s="71">
        <v>661.7088</v>
      </c>
      <c r="C179" s="71">
        <v>33.935200000000002</v>
      </c>
      <c r="D179" s="71">
        <v>42.139699999999998</v>
      </c>
      <c r="E179" s="71">
        <v>42.516300000000001</v>
      </c>
      <c r="F179" s="71">
        <v>52990.633000000002</v>
      </c>
      <c r="G179" s="71">
        <v>9.7059999999999995</v>
      </c>
    </row>
    <row r="180" spans="1:7" x14ac:dyDescent="0.15">
      <c r="A180" s="141" t="s">
        <v>153</v>
      </c>
      <c r="B180" s="71">
        <v>275.27999999999997</v>
      </c>
      <c r="C180" s="71">
        <v>30.915099999999999</v>
      </c>
      <c r="D180" s="71">
        <v>40.866199999999999</v>
      </c>
      <c r="E180" s="71">
        <v>41.386600000000001</v>
      </c>
      <c r="F180" s="71">
        <v>31665.546999999999</v>
      </c>
      <c r="G180" s="71">
        <v>6.8659999999999997</v>
      </c>
    </row>
    <row r="181" spans="1:7" x14ac:dyDescent="0.15">
      <c r="A181" s="141" t="s">
        <v>154</v>
      </c>
      <c r="B181" s="71">
        <v>3925.9967999999999</v>
      </c>
      <c r="C181" s="71">
        <v>40.478099999999998</v>
      </c>
      <c r="D181" s="71">
        <v>45.1676</v>
      </c>
      <c r="E181" s="71">
        <v>45.920400000000001</v>
      </c>
      <c r="F181" s="71">
        <v>155299.891</v>
      </c>
      <c r="G181" s="71">
        <v>17.542000000000002</v>
      </c>
    </row>
    <row r="182" spans="1:7" x14ac:dyDescent="0.15">
      <c r="A182" s="141" t="s">
        <v>155</v>
      </c>
      <c r="B182" s="71">
        <v>1803.7472</v>
      </c>
      <c r="C182" s="71">
        <v>38.856000000000002</v>
      </c>
      <c r="D182" s="71">
        <v>44.33</v>
      </c>
      <c r="E182" s="71">
        <v>44.375100000000003</v>
      </c>
      <c r="F182" s="71">
        <v>91280.320000000007</v>
      </c>
      <c r="G182" s="71">
        <v>15.023999999999999</v>
      </c>
    </row>
    <row r="183" spans="1:7" x14ac:dyDescent="0.15">
      <c r="A183" s="141" t="s">
        <v>156</v>
      </c>
      <c r="B183" s="71">
        <v>864.5616</v>
      </c>
      <c r="C183" s="71">
        <v>36.9178</v>
      </c>
      <c r="D183" s="71">
        <v>43.274000000000001</v>
      </c>
      <c r="E183" s="71">
        <v>42.559899999999999</v>
      </c>
      <c r="F183" s="71">
        <v>51999.391000000003</v>
      </c>
      <c r="G183" s="71">
        <v>12.254</v>
      </c>
    </row>
    <row r="184" spans="1:7" x14ac:dyDescent="0.15">
      <c r="A184" s="141" t="s">
        <v>157</v>
      </c>
      <c r="B184" s="71">
        <v>403.11840000000001</v>
      </c>
      <c r="C184" s="71">
        <v>34.698700000000002</v>
      </c>
      <c r="D184" s="71">
        <v>42.002800000000001</v>
      </c>
      <c r="E184" s="71">
        <v>40.630800000000001</v>
      </c>
      <c r="F184" s="71">
        <v>27909.807000000001</v>
      </c>
      <c r="G184" s="71">
        <v>8.7910000000000004</v>
      </c>
    </row>
    <row r="185" spans="1:7" x14ac:dyDescent="0.15">
      <c r="A185" s="141" t="s">
        <v>158</v>
      </c>
      <c r="B185" s="71">
        <v>969.77120000000002</v>
      </c>
      <c r="C185" s="71">
        <v>42.927100000000003</v>
      </c>
      <c r="D185" s="71">
        <v>46.490299999999998</v>
      </c>
      <c r="E185" s="71">
        <v>47.2607</v>
      </c>
      <c r="F185" s="71">
        <v>60241.031000000003</v>
      </c>
      <c r="G185" s="71">
        <v>8.4740000000000002</v>
      </c>
    </row>
    <row r="186" spans="1:7" x14ac:dyDescent="0.15">
      <c r="A186" s="141" t="s">
        <v>159</v>
      </c>
      <c r="B186" s="71">
        <v>496.57600000000002</v>
      </c>
      <c r="C186" s="71">
        <v>41.287700000000001</v>
      </c>
      <c r="D186" s="71">
        <v>45.564100000000003</v>
      </c>
      <c r="E186" s="71">
        <v>46.164700000000003</v>
      </c>
      <c r="F186" s="71">
        <v>36129.472999999998</v>
      </c>
      <c r="G186" s="71">
        <v>6.9770000000000003</v>
      </c>
    </row>
    <row r="187" spans="1:7" x14ac:dyDescent="0.15">
      <c r="A187" s="141" t="s">
        <v>160</v>
      </c>
      <c r="B187" s="71">
        <v>265.36160000000001</v>
      </c>
      <c r="C187" s="71">
        <v>39.128799999999998</v>
      </c>
      <c r="D187" s="71">
        <v>44.241</v>
      </c>
      <c r="E187" s="71">
        <v>44.680700000000002</v>
      </c>
      <c r="F187" s="71">
        <v>21137.846000000001</v>
      </c>
      <c r="G187" s="71">
        <v>5.6459999999999999</v>
      </c>
    </row>
    <row r="188" spans="1:7" x14ac:dyDescent="0.15">
      <c r="A188" s="141" t="s">
        <v>161</v>
      </c>
      <c r="B188" s="71">
        <v>143.5712</v>
      </c>
      <c r="C188" s="71">
        <v>36.357199999999999</v>
      </c>
      <c r="D188" s="71">
        <v>42.559899999999999</v>
      </c>
      <c r="E188" s="71">
        <v>42.965499999999999</v>
      </c>
      <c r="F188" s="71">
        <v>12652.463</v>
      </c>
      <c r="G188" s="71">
        <v>5.069</v>
      </c>
    </row>
    <row r="189" spans="1:7" x14ac:dyDescent="0.15">
      <c r="A189" s="141" t="s">
        <v>162</v>
      </c>
      <c r="B189" s="71">
        <v>1343.2704000000001</v>
      </c>
      <c r="C189" s="71">
        <v>42.627000000000002</v>
      </c>
      <c r="D189" s="71">
        <v>48.006100000000004</v>
      </c>
      <c r="E189" s="71">
        <v>47.454999999999998</v>
      </c>
      <c r="F189" s="71">
        <v>65791.656000000003</v>
      </c>
      <c r="G189" s="71">
        <v>9.8789999999999996</v>
      </c>
    </row>
    <row r="190" spans="1:7" x14ac:dyDescent="0.15">
      <c r="A190" s="141" t="s">
        <v>163</v>
      </c>
      <c r="B190" s="71">
        <v>663.42880000000002</v>
      </c>
      <c r="C190" s="71">
        <v>40.912399999999998</v>
      </c>
      <c r="D190" s="71">
        <v>47.213999999999999</v>
      </c>
      <c r="E190" s="71">
        <v>46.3005</v>
      </c>
      <c r="F190" s="71">
        <v>39088.328000000001</v>
      </c>
      <c r="G190" s="71">
        <v>7.95</v>
      </c>
    </row>
    <row r="191" spans="1:7" x14ac:dyDescent="0.15">
      <c r="A191" s="141" t="s">
        <v>164</v>
      </c>
      <c r="B191" s="71">
        <v>352.69600000000003</v>
      </c>
      <c r="C191" s="71">
        <v>38.624499999999998</v>
      </c>
      <c r="D191" s="71">
        <v>46.011000000000003</v>
      </c>
      <c r="E191" s="71">
        <v>44.616599999999998</v>
      </c>
      <c r="F191" s="71">
        <v>23100.859</v>
      </c>
      <c r="G191" s="71">
        <v>7.0519999999999996</v>
      </c>
    </row>
    <row r="192" spans="1:7" x14ac:dyDescent="0.15">
      <c r="A192" s="141" t="s">
        <v>165</v>
      </c>
      <c r="B192" s="71">
        <v>192.7808</v>
      </c>
      <c r="C192" s="71">
        <v>35.578899999999997</v>
      </c>
      <c r="D192" s="71">
        <v>44.655900000000003</v>
      </c>
      <c r="E192" s="71">
        <v>42.269599999999997</v>
      </c>
      <c r="F192" s="71">
        <v>14458.999</v>
      </c>
      <c r="G192" s="71">
        <v>5.516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133" zoomScaleNormal="100" workbookViewId="0">
      <selection activeCell="B147" sqref="B145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77588.665900000007</v>
      </c>
      <c r="C1">
        <v>40.803199999999997</v>
      </c>
      <c r="D1">
        <v>49.127800000000001</v>
      </c>
      <c r="E1">
        <v>47.654299999999999</v>
      </c>
      <c r="F1">
        <v>93289.983999999997</v>
      </c>
      <c r="G1">
        <v>27.513999999999999</v>
      </c>
    </row>
    <row r="2" spans="1:7" x14ac:dyDescent="0.15">
      <c r="A2" s="141" t="s">
        <v>191</v>
      </c>
      <c r="B2">
        <v>41846.529699999999</v>
      </c>
      <c r="C2">
        <v>40.151200000000003</v>
      </c>
      <c r="D2">
        <v>48.341099999999997</v>
      </c>
      <c r="E2">
        <v>46.536799999999999</v>
      </c>
      <c r="F2">
        <v>50657.042999999998</v>
      </c>
      <c r="G2">
        <v>25.306999999999999</v>
      </c>
    </row>
    <row r="3" spans="1:7" x14ac:dyDescent="0.15">
      <c r="A3" s="141" t="s">
        <v>192</v>
      </c>
      <c r="B3">
        <v>25031.403200000001</v>
      </c>
      <c r="C3">
        <v>39.418199999999999</v>
      </c>
      <c r="D3">
        <v>47.361499999999999</v>
      </c>
      <c r="E3">
        <v>45.252699999999997</v>
      </c>
      <c r="F3">
        <v>29623.905999999999</v>
      </c>
      <c r="G3">
        <v>23.198</v>
      </c>
    </row>
    <row r="4" spans="1:7" x14ac:dyDescent="0.15">
      <c r="A4" s="141" t="s">
        <v>193</v>
      </c>
      <c r="B4">
        <v>14262.7459</v>
      </c>
      <c r="C4">
        <v>38.194699999999997</v>
      </c>
      <c r="D4">
        <v>45.867600000000003</v>
      </c>
      <c r="E4">
        <v>43.461599999999997</v>
      </c>
      <c r="F4">
        <v>16348.081</v>
      </c>
      <c r="G4">
        <v>21.597999999999999</v>
      </c>
    </row>
    <row r="5" spans="1:7" x14ac:dyDescent="0.15">
      <c r="A5" s="141" t="s">
        <v>194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 s="141" t="s">
        <v>195</v>
      </c>
      <c r="B6">
        <v>207847.74739999999</v>
      </c>
      <c r="C6">
        <v>41.8889</v>
      </c>
      <c r="D6">
        <v>36.314599999999999</v>
      </c>
      <c r="E6">
        <v>37.128500000000003</v>
      </c>
      <c r="F6">
        <v>117340.43799999999</v>
      </c>
      <c r="G6">
        <v>35.737000000000002</v>
      </c>
    </row>
    <row r="7" spans="1:7" x14ac:dyDescent="0.15">
      <c r="A7" s="141" t="s">
        <v>196</v>
      </c>
      <c r="B7">
        <v>118670.07369999999</v>
      </c>
      <c r="C7">
        <v>38.655099999999997</v>
      </c>
      <c r="D7">
        <v>34.024700000000003</v>
      </c>
      <c r="E7">
        <v>35.0749</v>
      </c>
      <c r="F7">
        <v>85500.016000000003</v>
      </c>
      <c r="G7">
        <v>31.187000000000001</v>
      </c>
    </row>
    <row r="8" spans="1:7" x14ac:dyDescent="0.15">
      <c r="A8" s="141" t="s">
        <v>197</v>
      </c>
      <c r="B8">
        <v>55929.968399999998</v>
      </c>
      <c r="C8">
        <v>35.199100000000001</v>
      </c>
      <c r="D8">
        <v>31.658999999999999</v>
      </c>
      <c r="E8">
        <v>33.125300000000003</v>
      </c>
      <c r="F8">
        <v>54771.836000000003</v>
      </c>
      <c r="G8">
        <v>26.622</v>
      </c>
    </row>
    <row r="9" spans="1:7" x14ac:dyDescent="0.15">
      <c r="A9" s="141" t="s">
        <v>198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 s="141" t="s">
        <v>199</v>
      </c>
      <c r="B10">
        <v>56403.107400000001</v>
      </c>
      <c r="C10">
        <v>38.857599999999998</v>
      </c>
      <c r="D10">
        <v>41.230499999999999</v>
      </c>
      <c r="E10">
        <v>41.567399999999999</v>
      </c>
      <c r="F10">
        <v>90694.804999999993</v>
      </c>
      <c r="G10">
        <v>26.456</v>
      </c>
    </row>
    <row r="11" spans="1:7" x14ac:dyDescent="0.15">
      <c r="A11" s="141" t="s">
        <v>200</v>
      </c>
      <c r="B11">
        <v>25623.151600000001</v>
      </c>
      <c r="C11">
        <v>37.2883</v>
      </c>
      <c r="D11">
        <v>38.917099999999998</v>
      </c>
      <c r="E11">
        <v>40.428899999999999</v>
      </c>
      <c r="F11">
        <v>47673.987999999998</v>
      </c>
      <c r="G11">
        <v>22.498999999999999</v>
      </c>
    </row>
    <row r="12" spans="1:7" x14ac:dyDescent="0.15">
      <c r="A12" s="141" t="s">
        <v>201</v>
      </c>
      <c r="B12">
        <v>12373.44</v>
      </c>
      <c r="C12">
        <v>35.898000000000003</v>
      </c>
      <c r="D12">
        <v>36.222799999999999</v>
      </c>
      <c r="E12">
        <v>38.914000000000001</v>
      </c>
      <c r="F12">
        <v>26523.276999999998</v>
      </c>
      <c r="G12">
        <v>20.614000000000001</v>
      </c>
    </row>
    <row r="13" spans="1:7" x14ac:dyDescent="0.15">
      <c r="A13" s="141" t="s">
        <v>202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 s="141" t="s">
        <v>203</v>
      </c>
      <c r="B14">
        <v>87325.452600000004</v>
      </c>
      <c r="C14">
        <v>37.667299999999997</v>
      </c>
      <c r="D14">
        <v>44.522500000000001</v>
      </c>
      <c r="E14">
        <v>42.136699999999998</v>
      </c>
      <c r="F14">
        <v>97698.258000000002</v>
      </c>
      <c r="G14">
        <v>28.460999999999999</v>
      </c>
    </row>
    <row r="15" spans="1:7" x14ac:dyDescent="0.15">
      <c r="A15" s="141" t="s">
        <v>204</v>
      </c>
      <c r="B15">
        <v>50170.433700000001</v>
      </c>
      <c r="C15">
        <v>36.740299999999998</v>
      </c>
      <c r="D15">
        <v>43.465600000000002</v>
      </c>
      <c r="E15">
        <v>40.918100000000003</v>
      </c>
      <c r="F15">
        <v>57932.538999999997</v>
      </c>
      <c r="G15">
        <v>25.661999999999999</v>
      </c>
    </row>
    <row r="16" spans="1:7" x14ac:dyDescent="0.15">
      <c r="A16" s="141" t="s">
        <v>205</v>
      </c>
      <c r="B16">
        <v>26429.482100000001</v>
      </c>
      <c r="C16">
        <v>35.237499999999997</v>
      </c>
      <c r="D16">
        <v>41.996600000000001</v>
      </c>
      <c r="E16">
        <v>39.508899999999997</v>
      </c>
      <c r="F16">
        <v>33240.910000000003</v>
      </c>
      <c r="G16">
        <v>22.132999999999999</v>
      </c>
    </row>
    <row r="17" spans="1:7" x14ac:dyDescent="0.15">
      <c r="A17" s="141" t="s">
        <v>94</v>
      </c>
      <c r="B17">
        <v>68199.485700000005</v>
      </c>
      <c r="C17">
        <v>39.544199999999996</v>
      </c>
      <c r="D17">
        <v>40.380800000000001</v>
      </c>
      <c r="E17">
        <v>43.293399999999998</v>
      </c>
      <c r="F17">
        <v>86075.125</v>
      </c>
      <c r="G17">
        <v>17.405000000000001</v>
      </c>
    </row>
    <row r="18" spans="1:7" x14ac:dyDescent="0.15">
      <c r="A18" s="141" t="s">
        <v>95</v>
      </c>
      <c r="B18">
        <v>40694.165099999998</v>
      </c>
      <c r="C18">
        <v>37.903599999999997</v>
      </c>
      <c r="D18">
        <v>39.339100000000002</v>
      </c>
      <c r="E18">
        <v>41.8279</v>
      </c>
      <c r="F18">
        <v>58062.137000000002</v>
      </c>
      <c r="G18">
        <v>14.493</v>
      </c>
    </row>
    <row r="19" spans="1:7" x14ac:dyDescent="0.15">
      <c r="A19" s="141" t="s">
        <v>96</v>
      </c>
      <c r="B19">
        <v>23458.6603</v>
      </c>
      <c r="C19">
        <v>35.987200000000001</v>
      </c>
      <c r="D19">
        <v>38.410299999999999</v>
      </c>
      <c r="E19">
        <v>40.382100000000001</v>
      </c>
      <c r="F19">
        <v>38289.934000000001</v>
      </c>
      <c r="G19">
        <v>12.21</v>
      </c>
    </row>
    <row r="20" spans="1:7" x14ac:dyDescent="0.15">
      <c r="A20" s="141" t="s">
        <v>97</v>
      </c>
      <c r="B20">
        <v>11956.2286</v>
      </c>
      <c r="C20">
        <v>33.5122</v>
      </c>
      <c r="D20">
        <v>37.170999999999999</v>
      </c>
      <c r="E20">
        <v>38.654299999999999</v>
      </c>
      <c r="F20">
        <v>23717.16</v>
      </c>
      <c r="G20">
        <v>10.391999999999999</v>
      </c>
    </row>
    <row r="21" spans="1:7" x14ac:dyDescent="0.15">
      <c r="A21" s="141" t="s">
        <v>98</v>
      </c>
      <c r="B21">
        <v>42969.618999999999</v>
      </c>
      <c r="C21">
        <v>40.189900000000002</v>
      </c>
      <c r="D21">
        <v>44.076000000000001</v>
      </c>
      <c r="E21">
        <v>45.491900000000001</v>
      </c>
      <c r="F21">
        <v>66228.608999999997</v>
      </c>
      <c r="G21">
        <v>14.414</v>
      </c>
    </row>
    <row r="22" spans="1:7" x14ac:dyDescent="0.15">
      <c r="A22" s="141" t="s">
        <v>99</v>
      </c>
      <c r="B22">
        <v>23379.828600000001</v>
      </c>
      <c r="C22">
        <v>38.715400000000002</v>
      </c>
      <c r="D22">
        <v>43.0366</v>
      </c>
      <c r="E22">
        <v>43.969000000000001</v>
      </c>
      <c r="F22">
        <v>42475.535000000003</v>
      </c>
      <c r="G22">
        <v>12.073</v>
      </c>
    </row>
    <row r="23" spans="1:7" x14ac:dyDescent="0.15">
      <c r="A23" s="141" t="s">
        <v>100</v>
      </c>
      <c r="B23">
        <v>13124.9079</v>
      </c>
      <c r="C23">
        <v>37.258200000000002</v>
      </c>
      <c r="D23">
        <v>41.8872</v>
      </c>
      <c r="E23">
        <v>42.374200000000002</v>
      </c>
      <c r="F23">
        <v>26693.883000000002</v>
      </c>
      <c r="G23">
        <v>10.906000000000001</v>
      </c>
    </row>
    <row r="24" spans="1:7" x14ac:dyDescent="0.15">
      <c r="A24" s="141" t="s">
        <v>101</v>
      </c>
      <c r="B24">
        <v>7012.0443999999998</v>
      </c>
      <c r="C24">
        <v>35.334099999999999</v>
      </c>
      <c r="D24">
        <v>40.360799999999998</v>
      </c>
      <c r="E24">
        <v>40.408000000000001</v>
      </c>
      <c r="F24">
        <v>15910.125</v>
      </c>
      <c r="G24">
        <v>9.7959999999999994</v>
      </c>
    </row>
    <row r="25" spans="1:7" x14ac:dyDescent="0.15">
      <c r="A25" s="141" t="s">
        <v>206</v>
      </c>
      <c r="B25">
        <v>65132.2304</v>
      </c>
      <c r="C25">
        <v>41.6967</v>
      </c>
      <c r="D25">
        <v>44.177500000000002</v>
      </c>
      <c r="E25">
        <v>44.939700000000002</v>
      </c>
      <c r="F25">
        <v>73486.875</v>
      </c>
      <c r="G25">
        <v>18.437000000000001</v>
      </c>
    </row>
    <row r="26" spans="1:7" x14ac:dyDescent="0.15">
      <c r="A26" s="141" t="s">
        <v>207</v>
      </c>
      <c r="B26">
        <v>41949.356800000001</v>
      </c>
      <c r="C26">
        <v>39.901499999999999</v>
      </c>
      <c r="D26">
        <v>42.652099999999997</v>
      </c>
      <c r="E26">
        <v>43.618299999999998</v>
      </c>
      <c r="F26">
        <v>52939.440999999999</v>
      </c>
      <c r="G26">
        <v>16.062999999999999</v>
      </c>
    </row>
    <row r="27" spans="1:7" x14ac:dyDescent="0.15">
      <c r="A27" s="141" t="s">
        <v>208</v>
      </c>
      <c r="B27">
        <v>24656.844799999999</v>
      </c>
      <c r="C27">
        <v>37.682299999999998</v>
      </c>
      <c r="D27">
        <v>41.2622</v>
      </c>
      <c r="E27">
        <v>42.259399999999999</v>
      </c>
      <c r="F27">
        <v>35685.061999999998</v>
      </c>
      <c r="G27">
        <v>14.039</v>
      </c>
    </row>
    <row r="28" spans="1:7" x14ac:dyDescent="0.15">
      <c r="A28" s="141" t="s">
        <v>209</v>
      </c>
      <c r="B28">
        <v>12470.1824</v>
      </c>
      <c r="C28">
        <v>35.005499999999998</v>
      </c>
      <c r="D28">
        <v>39.689799999999998</v>
      </c>
      <c r="E28">
        <v>40.6066</v>
      </c>
      <c r="F28">
        <v>21962.032999999999</v>
      </c>
      <c r="G28">
        <v>11.984</v>
      </c>
    </row>
    <row r="29" spans="1:7" x14ac:dyDescent="0.15">
      <c r="A29" s="141" t="s">
        <v>210</v>
      </c>
      <c r="B29">
        <v>39884.294399999999</v>
      </c>
      <c r="C29">
        <v>44.871200000000002</v>
      </c>
      <c r="D29">
        <v>47.074300000000001</v>
      </c>
      <c r="E29">
        <v>48.030500000000004</v>
      </c>
      <c r="F29">
        <v>51259.112999999998</v>
      </c>
      <c r="G29">
        <v>15.791</v>
      </c>
    </row>
    <row r="30" spans="1:7" x14ac:dyDescent="0.15">
      <c r="A30" s="141" t="s">
        <v>211</v>
      </c>
      <c r="B30">
        <v>26318.323199999999</v>
      </c>
      <c r="C30">
        <v>42.7258</v>
      </c>
      <c r="D30">
        <v>45.315100000000001</v>
      </c>
      <c r="E30">
        <v>46.151800000000001</v>
      </c>
      <c r="F30">
        <v>38880.781000000003</v>
      </c>
      <c r="G30">
        <v>14.901</v>
      </c>
    </row>
    <row r="31" spans="1:7" x14ac:dyDescent="0.15">
      <c r="A31" s="141" t="s">
        <v>212</v>
      </c>
      <c r="B31">
        <v>15598.6752</v>
      </c>
      <c r="C31">
        <v>40.0533</v>
      </c>
      <c r="D31">
        <v>43.674500000000002</v>
      </c>
      <c r="E31">
        <v>44.338799999999999</v>
      </c>
      <c r="F31">
        <v>26944.478999999999</v>
      </c>
      <c r="G31">
        <v>12.847</v>
      </c>
    </row>
    <row r="32" spans="1:7" x14ac:dyDescent="0.15">
      <c r="A32" s="141" t="s">
        <v>213</v>
      </c>
      <c r="B32">
        <v>8142.5792000000001</v>
      </c>
      <c r="C32">
        <v>36.989899999999999</v>
      </c>
      <c r="D32">
        <v>41.802399999999999</v>
      </c>
      <c r="E32">
        <v>42.172800000000002</v>
      </c>
      <c r="F32">
        <v>16577.736000000001</v>
      </c>
      <c r="G32">
        <v>11.122999999999999</v>
      </c>
    </row>
    <row r="33" spans="1:7" x14ac:dyDescent="0.15">
      <c r="A33" s="141" t="s">
        <v>102</v>
      </c>
      <c r="B33">
        <v>54207.001600000003</v>
      </c>
      <c r="C33">
        <v>41.692</v>
      </c>
      <c r="D33">
        <v>45.704300000000003</v>
      </c>
      <c r="E33">
        <v>46.062899999999999</v>
      </c>
      <c r="F33">
        <v>50450.016000000003</v>
      </c>
      <c r="G33">
        <v>10.23</v>
      </c>
    </row>
    <row r="34" spans="1:7" x14ac:dyDescent="0.15">
      <c r="A34" s="141" t="s">
        <v>103</v>
      </c>
      <c r="B34">
        <v>37002.419199999997</v>
      </c>
      <c r="C34">
        <v>38.774000000000001</v>
      </c>
      <c r="D34">
        <v>43.741799999999998</v>
      </c>
      <c r="E34">
        <v>44.1708</v>
      </c>
      <c r="F34">
        <v>41071.125</v>
      </c>
      <c r="G34">
        <v>9.4079999999999995</v>
      </c>
    </row>
    <row r="35" spans="1:7" x14ac:dyDescent="0.15">
      <c r="A35" s="141" t="s">
        <v>104</v>
      </c>
      <c r="B35">
        <v>22006.892800000001</v>
      </c>
      <c r="C35">
        <v>35.409599999999998</v>
      </c>
      <c r="D35">
        <v>42.109400000000001</v>
      </c>
      <c r="E35">
        <v>42.617699999999999</v>
      </c>
      <c r="F35">
        <v>30615.440999999999</v>
      </c>
      <c r="G35">
        <v>7.69</v>
      </c>
    </row>
    <row r="36" spans="1:7" x14ac:dyDescent="0.15">
      <c r="A36" s="141" t="s">
        <v>105</v>
      </c>
      <c r="B36">
        <v>10857.337600000001</v>
      </c>
      <c r="C36">
        <v>31.7957</v>
      </c>
      <c r="D36">
        <v>40.561199999999999</v>
      </c>
      <c r="E36">
        <v>41.189799999999998</v>
      </c>
      <c r="F36">
        <v>19919.342000000001</v>
      </c>
      <c r="G36">
        <v>6.38</v>
      </c>
    </row>
    <row r="37" spans="1:7" x14ac:dyDescent="0.15">
      <c r="A37" s="141" t="s">
        <v>106</v>
      </c>
      <c r="B37">
        <v>20385.977599999998</v>
      </c>
      <c r="C37">
        <v>42.6738</v>
      </c>
      <c r="D37">
        <v>45.431699999999999</v>
      </c>
      <c r="E37">
        <v>46.899099999999997</v>
      </c>
      <c r="F37">
        <v>28670.528999999999</v>
      </c>
      <c r="G37">
        <v>7.1589999999999998</v>
      </c>
    </row>
    <row r="38" spans="1:7" x14ac:dyDescent="0.15">
      <c r="A38" s="141" t="s">
        <v>107</v>
      </c>
      <c r="B38">
        <v>11590.6176</v>
      </c>
      <c r="C38">
        <v>40.659399999999998</v>
      </c>
      <c r="D38">
        <v>44.46</v>
      </c>
      <c r="E38">
        <v>45.232199999999999</v>
      </c>
      <c r="F38">
        <v>19668.919999999998</v>
      </c>
      <c r="G38">
        <v>6.1239999999999997</v>
      </c>
    </row>
    <row r="39" spans="1:7" x14ac:dyDescent="0.15">
      <c r="A39" s="141" t="s">
        <v>108</v>
      </c>
      <c r="B39">
        <v>6422.8352000000004</v>
      </c>
      <c r="C39">
        <v>38.649000000000001</v>
      </c>
      <c r="D39">
        <v>43.472200000000001</v>
      </c>
      <c r="E39">
        <v>43.478400000000001</v>
      </c>
      <c r="F39">
        <v>12629.157999999999</v>
      </c>
      <c r="G39">
        <v>5.4219999999999997</v>
      </c>
    </row>
    <row r="40" spans="1:7" x14ac:dyDescent="0.15">
      <c r="A40" s="141" t="s">
        <v>109</v>
      </c>
      <c r="B40">
        <v>3275.5583999999999</v>
      </c>
      <c r="C40">
        <v>36.2761</v>
      </c>
      <c r="D40">
        <v>42.096299999999999</v>
      </c>
      <c r="E40">
        <v>41.331200000000003</v>
      </c>
      <c r="F40">
        <v>7406.1019999999999</v>
      </c>
      <c r="G40">
        <v>4.8609999999999998</v>
      </c>
    </row>
    <row r="41" spans="1:7" x14ac:dyDescent="0.15">
      <c r="A41" s="141" t="s">
        <v>110</v>
      </c>
      <c r="B41">
        <v>15333.28</v>
      </c>
      <c r="C41">
        <v>44.186999999999998</v>
      </c>
      <c r="D41">
        <v>46.915700000000001</v>
      </c>
      <c r="E41">
        <v>47.784700000000001</v>
      </c>
      <c r="F41">
        <v>22651.243999999999</v>
      </c>
      <c r="G41">
        <v>6.6689999999999996</v>
      </c>
    </row>
    <row r="42" spans="1:7" x14ac:dyDescent="0.15">
      <c r="A42" s="141" t="s">
        <v>111</v>
      </c>
      <c r="B42">
        <v>10381.4784</v>
      </c>
      <c r="C42">
        <v>42.454000000000001</v>
      </c>
      <c r="D42">
        <v>45.677100000000003</v>
      </c>
      <c r="E42">
        <v>46.354100000000003</v>
      </c>
      <c r="F42">
        <v>16846.557000000001</v>
      </c>
      <c r="G42">
        <v>6.1029999999999998</v>
      </c>
    </row>
    <row r="43" spans="1:7" x14ac:dyDescent="0.15">
      <c r="A43" s="141" t="s">
        <v>112</v>
      </c>
      <c r="B43">
        <v>6565.9391999999998</v>
      </c>
      <c r="C43">
        <v>40.113399999999999</v>
      </c>
      <c r="D43">
        <v>44.306199999999997</v>
      </c>
      <c r="E43">
        <v>44.808999999999997</v>
      </c>
      <c r="F43">
        <v>11844.957</v>
      </c>
      <c r="G43">
        <v>5.4649999999999999</v>
      </c>
    </row>
    <row r="44" spans="1:7" x14ac:dyDescent="0.15">
      <c r="A44" s="141" t="s">
        <v>113</v>
      </c>
      <c r="B44">
        <v>3798.1376</v>
      </c>
      <c r="C44">
        <v>37.1297</v>
      </c>
      <c r="D44">
        <v>42.521099999999997</v>
      </c>
      <c r="E44">
        <v>42.951700000000002</v>
      </c>
      <c r="F44">
        <v>7693.1869999999999</v>
      </c>
      <c r="G44">
        <v>4.9820000000000002</v>
      </c>
    </row>
    <row r="45" spans="1:7" x14ac:dyDescent="0.15">
      <c r="A45" s="141" t="s">
        <v>114</v>
      </c>
      <c r="B45">
        <v>16545.459200000001</v>
      </c>
      <c r="C45">
        <v>44.130200000000002</v>
      </c>
      <c r="D45">
        <v>48.399099999999997</v>
      </c>
      <c r="E45">
        <v>48.174700000000001</v>
      </c>
      <c r="F45">
        <v>22509.541000000001</v>
      </c>
      <c r="G45">
        <v>6.4610000000000003</v>
      </c>
    </row>
    <row r="46" spans="1:7" x14ac:dyDescent="0.15">
      <c r="A46" s="141" t="s">
        <v>115</v>
      </c>
      <c r="B46">
        <v>11477.0304</v>
      </c>
      <c r="C46">
        <v>42.388599999999997</v>
      </c>
      <c r="D46">
        <v>47.243299999999998</v>
      </c>
      <c r="E46">
        <v>46.553600000000003</v>
      </c>
      <c r="F46">
        <v>17083.561000000002</v>
      </c>
      <c r="G46">
        <v>5.9690000000000003</v>
      </c>
    </row>
    <row r="47" spans="1:7" x14ac:dyDescent="0.15">
      <c r="A47" s="141" t="s">
        <v>116</v>
      </c>
      <c r="B47">
        <v>7456.7615999999998</v>
      </c>
      <c r="C47">
        <v>40.000700000000002</v>
      </c>
      <c r="D47">
        <v>46.034199999999998</v>
      </c>
      <c r="E47">
        <v>44.6965</v>
      </c>
      <c r="F47">
        <v>12425.424999999999</v>
      </c>
      <c r="G47">
        <v>5.3449999999999998</v>
      </c>
    </row>
    <row r="48" spans="1:7" x14ac:dyDescent="0.15">
      <c r="A48" s="141" t="s">
        <v>117</v>
      </c>
      <c r="B48">
        <v>4335.0528000000004</v>
      </c>
      <c r="C48">
        <v>36.780200000000001</v>
      </c>
      <c r="D48">
        <v>44.255899999999997</v>
      </c>
      <c r="E48">
        <v>42.348700000000001</v>
      </c>
      <c r="F48">
        <v>8360.5990000000002</v>
      </c>
      <c r="G48">
        <v>4.7290000000000001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15">
      <c r="A74" s="141" t="s">
        <v>223</v>
      </c>
      <c r="B74">
        <v>6811.884</v>
      </c>
      <c r="C74">
        <v>39.578000000000003</v>
      </c>
      <c r="D74">
        <v>48.333599999999997</v>
      </c>
      <c r="E74">
        <v>46.0518</v>
      </c>
      <c r="F74">
        <v>184296.87100000001</v>
      </c>
      <c r="G74">
        <v>61.652000000000001</v>
      </c>
    </row>
    <row r="75" spans="1:7" x14ac:dyDescent="0.15">
      <c r="A75" s="141" t="s">
        <v>224</v>
      </c>
      <c r="B75">
        <v>3679.3679999999999</v>
      </c>
      <c r="C75">
        <v>38.723300000000002</v>
      </c>
      <c r="D75">
        <v>47.3568</v>
      </c>
      <c r="E75">
        <v>44.733600000000003</v>
      </c>
      <c r="F75">
        <v>92934.978000000003</v>
      </c>
      <c r="G75">
        <v>57.006</v>
      </c>
    </row>
    <row r="76" spans="1:7" x14ac:dyDescent="0.15">
      <c r="A76" s="141" t="s">
        <v>225</v>
      </c>
      <c r="B76">
        <v>1944.36</v>
      </c>
      <c r="C76">
        <v>37.212400000000002</v>
      </c>
      <c r="D76">
        <v>46.081699999999998</v>
      </c>
      <c r="E76">
        <v>43.076700000000002</v>
      </c>
      <c r="F76">
        <v>46574.275999999998</v>
      </c>
      <c r="G76">
        <v>52.923999999999999</v>
      </c>
    </row>
    <row r="77" spans="1:7" x14ac:dyDescent="0.1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1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15">
      <c r="A79" s="141" t="s">
        <v>228</v>
      </c>
      <c r="B79">
        <v>18976.916000000001</v>
      </c>
      <c r="C79">
        <v>36.1008</v>
      </c>
      <c r="D79">
        <v>32.6098</v>
      </c>
      <c r="E79">
        <v>34.111899999999999</v>
      </c>
      <c r="F79">
        <v>256304.38</v>
      </c>
      <c r="G79">
        <v>60.972999999999999</v>
      </c>
    </row>
    <row r="80" spans="1:7" x14ac:dyDescent="0.15">
      <c r="A80" s="141" t="s">
        <v>229</v>
      </c>
      <c r="B80">
        <v>7830.0280000000002</v>
      </c>
      <c r="C80">
        <v>33.030299999999997</v>
      </c>
      <c r="D80">
        <v>31.006799999999998</v>
      </c>
      <c r="E80">
        <v>32.727499999999999</v>
      </c>
      <c r="F80">
        <v>144339.6</v>
      </c>
      <c r="G80">
        <v>55.158000000000001</v>
      </c>
    </row>
    <row r="81" spans="1:7" x14ac:dyDescent="0.1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15">
      <c r="A82" s="141" t="s">
        <v>231</v>
      </c>
      <c r="B82">
        <v>18970.608</v>
      </c>
      <c r="C82">
        <v>37.185200000000002</v>
      </c>
      <c r="D82">
        <v>37.828400000000002</v>
      </c>
      <c r="E82">
        <v>40.016599999999997</v>
      </c>
      <c r="F82">
        <v>216249.81599999999</v>
      </c>
      <c r="G82">
        <v>35.694000000000003</v>
      </c>
    </row>
    <row r="83" spans="1:7" x14ac:dyDescent="0.15">
      <c r="A83" s="141" t="s">
        <v>232</v>
      </c>
      <c r="B83">
        <v>9389.8960000000006</v>
      </c>
      <c r="C83">
        <v>35.803100000000001</v>
      </c>
      <c r="D83">
        <v>35.651000000000003</v>
      </c>
      <c r="E83">
        <v>38.702500000000001</v>
      </c>
      <c r="F83">
        <v>129823.318</v>
      </c>
      <c r="G83">
        <v>32.356000000000002</v>
      </c>
    </row>
    <row r="84" spans="1:7" x14ac:dyDescent="0.15">
      <c r="A84" s="141" t="s">
        <v>233</v>
      </c>
      <c r="B84">
        <v>4754.96</v>
      </c>
      <c r="C84">
        <v>33.963999999999999</v>
      </c>
      <c r="D84">
        <v>33.779400000000003</v>
      </c>
      <c r="E84">
        <v>37.248699999999999</v>
      </c>
      <c r="F84">
        <v>75203.266000000003</v>
      </c>
      <c r="G84">
        <v>29.181999999999999</v>
      </c>
    </row>
    <row r="85" spans="1:7" x14ac:dyDescent="0.1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1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15">
      <c r="A87" s="141" t="s">
        <v>236</v>
      </c>
      <c r="B87">
        <v>4539.5720000000001</v>
      </c>
      <c r="C87">
        <v>36.189500000000002</v>
      </c>
      <c r="D87">
        <v>43.600299999999997</v>
      </c>
      <c r="E87">
        <v>41.108800000000002</v>
      </c>
      <c r="F87">
        <v>132016.96599999999</v>
      </c>
      <c r="G87">
        <v>49.716999999999999</v>
      </c>
    </row>
    <row r="88" spans="1:7" x14ac:dyDescent="0.15">
      <c r="A88" s="141" t="s">
        <v>237</v>
      </c>
      <c r="B88">
        <v>2194.1439999999998</v>
      </c>
      <c r="C88">
        <v>34.717300000000002</v>
      </c>
      <c r="D88">
        <v>42.299599999999998</v>
      </c>
      <c r="E88">
        <v>39.847200000000001</v>
      </c>
      <c r="F88">
        <v>64407.248</v>
      </c>
      <c r="G88">
        <v>42.106999999999999</v>
      </c>
    </row>
    <row r="89" spans="1:7" x14ac:dyDescent="0.15">
      <c r="A89" s="141" t="s">
        <v>118</v>
      </c>
      <c r="B89">
        <v>10037.796</v>
      </c>
      <c r="C89">
        <v>37.988900000000001</v>
      </c>
      <c r="D89">
        <v>39.727200000000003</v>
      </c>
      <c r="E89">
        <v>43.086799999999997</v>
      </c>
      <c r="F89">
        <v>111402.114</v>
      </c>
      <c r="G89">
        <v>14.115</v>
      </c>
    </row>
    <row r="90" spans="1:7" x14ac:dyDescent="0.15">
      <c r="A90" s="141" t="s">
        <v>119</v>
      </c>
      <c r="B90">
        <v>4712.8999999999996</v>
      </c>
      <c r="C90">
        <v>36.890900000000002</v>
      </c>
      <c r="D90">
        <v>39.1935</v>
      </c>
      <c r="E90">
        <v>41.983800000000002</v>
      </c>
      <c r="F90">
        <v>65046.853000000003</v>
      </c>
      <c r="G90">
        <v>11.175000000000001</v>
      </c>
    </row>
    <row r="91" spans="1:7" x14ac:dyDescent="0.15">
      <c r="A91" s="141" t="s">
        <v>120</v>
      </c>
      <c r="B91">
        <v>2397.576</v>
      </c>
      <c r="C91">
        <v>35.3078</v>
      </c>
      <c r="D91">
        <v>38.473599999999998</v>
      </c>
      <c r="E91">
        <v>40.623399999999997</v>
      </c>
      <c r="F91">
        <v>37324.262000000002</v>
      </c>
      <c r="G91">
        <v>10.146000000000001</v>
      </c>
    </row>
    <row r="92" spans="1:7" x14ac:dyDescent="0.15">
      <c r="A92" s="141" t="s">
        <v>121</v>
      </c>
      <c r="B92">
        <v>1118.94</v>
      </c>
      <c r="C92">
        <v>33.0565</v>
      </c>
      <c r="D92">
        <v>37.397599999999997</v>
      </c>
      <c r="E92">
        <v>38.921999999999997</v>
      </c>
      <c r="F92">
        <v>20319.468000000001</v>
      </c>
      <c r="G92">
        <v>9.0779999999999994</v>
      </c>
    </row>
    <row r="93" spans="1:7" x14ac:dyDescent="0.15">
      <c r="A93" s="141" t="s">
        <v>122</v>
      </c>
      <c r="B93">
        <v>8791.6239999999998</v>
      </c>
      <c r="C93">
        <v>38.920499999999997</v>
      </c>
      <c r="D93">
        <v>43.949599999999997</v>
      </c>
      <c r="E93">
        <v>45.045699999999997</v>
      </c>
      <c r="F93">
        <v>115021.36</v>
      </c>
      <c r="G93">
        <v>15.755000000000001</v>
      </c>
    </row>
    <row r="94" spans="1:7" x14ac:dyDescent="0.15">
      <c r="A94" s="141" t="s">
        <v>123</v>
      </c>
      <c r="B94">
        <v>4376.2039999999997</v>
      </c>
      <c r="C94">
        <v>37.874299999999998</v>
      </c>
      <c r="D94">
        <v>43.113700000000001</v>
      </c>
      <c r="E94">
        <v>43.629600000000003</v>
      </c>
      <c r="F94">
        <v>68956.406000000003</v>
      </c>
      <c r="G94">
        <v>13.972</v>
      </c>
    </row>
    <row r="95" spans="1:7" x14ac:dyDescent="0.15">
      <c r="A95" s="141" t="s">
        <v>124</v>
      </c>
      <c r="B95">
        <v>2227.9679999999998</v>
      </c>
      <c r="C95">
        <v>36.380200000000002</v>
      </c>
      <c r="D95">
        <v>42.0002</v>
      </c>
      <c r="E95">
        <v>41.9679</v>
      </c>
      <c r="F95">
        <v>38238.400000000001</v>
      </c>
      <c r="G95">
        <v>12.195</v>
      </c>
    </row>
    <row r="96" spans="1:7" x14ac:dyDescent="0.15">
      <c r="A96" s="141" t="s">
        <v>125</v>
      </c>
      <c r="B96">
        <v>1094.7919999999999</v>
      </c>
      <c r="C96">
        <v>34.309899999999999</v>
      </c>
      <c r="D96">
        <v>40.643300000000004</v>
      </c>
      <c r="E96">
        <v>40.149299999999997</v>
      </c>
      <c r="F96">
        <v>20670.499</v>
      </c>
      <c r="G96">
        <v>9.9250000000000007</v>
      </c>
    </row>
    <row r="97" spans="1:7" x14ac:dyDescent="0.15">
      <c r="A97" s="141" t="s">
        <v>238</v>
      </c>
      <c r="B97">
        <v>6870.3879999999999</v>
      </c>
      <c r="C97">
        <v>39.6785</v>
      </c>
      <c r="D97">
        <v>43.6586</v>
      </c>
      <c r="E97">
        <v>44.863</v>
      </c>
      <c r="F97">
        <v>103932.46</v>
      </c>
      <c r="G97">
        <v>16.116</v>
      </c>
    </row>
    <row r="98" spans="1:7" x14ac:dyDescent="0.15">
      <c r="A98" s="141" t="s">
        <v>239</v>
      </c>
      <c r="B98">
        <v>3233.616</v>
      </c>
      <c r="C98">
        <v>38.481099999999998</v>
      </c>
      <c r="D98">
        <v>42.895800000000001</v>
      </c>
      <c r="E98">
        <v>44.204000000000001</v>
      </c>
      <c r="F98">
        <v>61773.752999999997</v>
      </c>
      <c r="G98">
        <v>14.157</v>
      </c>
    </row>
    <row r="99" spans="1:7" x14ac:dyDescent="0.15">
      <c r="A99" s="141" t="s">
        <v>240</v>
      </c>
      <c r="B99">
        <v>1536.932</v>
      </c>
      <c r="C99">
        <v>36.770600000000002</v>
      </c>
      <c r="D99">
        <v>41.877400000000002</v>
      </c>
      <c r="E99">
        <v>43.168999999999997</v>
      </c>
      <c r="F99">
        <v>33076.375</v>
      </c>
      <c r="G99">
        <v>12.551</v>
      </c>
    </row>
    <row r="100" spans="1:7" x14ac:dyDescent="0.15">
      <c r="A100" s="141" t="s">
        <v>241</v>
      </c>
      <c r="B100">
        <v>689.88800000000003</v>
      </c>
      <c r="C100">
        <v>34.536999999999999</v>
      </c>
      <c r="D100">
        <v>40.622199999999999</v>
      </c>
      <c r="E100">
        <v>41.871299999999998</v>
      </c>
      <c r="F100">
        <v>16774.225999999999</v>
      </c>
      <c r="G100">
        <v>10.129</v>
      </c>
    </row>
    <row r="101" spans="1:7" x14ac:dyDescent="0.15">
      <c r="A101" s="141" t="s">
        <v>242</v>
      </c>
      <c r="B101">
        <v>5757.8320000000003</v>
      </c>
      <c r="C101">
        <v>44.841299999999997</v>
      </c>
      <c r="D101">
        <v>47.213900000000002</v>
      </c>
      <c r="E101">
        <v>48.175199999999997</v>
      </c>
      <c r="F101">
        <v>76941.203999999998</v>
      </c>
      <c r="G101">
        <v>16.088999999999999</v>
      </c>
    </row>
    <row r="102" spans="1:7" x14ac:dyDescent="0.15">
      <c r="A102" s="141" t="s">
        <v>243</v>
      </c>
      <c r="B102">
        <v>3526.5239999999999</v>
      </c>
      <c r="C102">
        <v>42.598700000000001</v>
      </c>
      <c r="D102">
        <v>45.667499999999997</v>
      </c>
      <c r="E102">
        <v>46.442500000000003</v>
      </c>
      <c r="F102">
        <v>52216.822999999997</v>
      </c>
      <c r="G102">
        <v>14.4</v>
      </c>
    </row>
    <row r="103" spans="1:7" x14ac:dyDescent="0.15">
      <c r="A103" s="141" t="s">
        <v>244</v>
      </c>
      <c r="B103">
        <v>1959.78</v>
      </c>
      <c r="C103">
        <v>39.791200000000003</v>
      </c>
      <c r="D103">
        <v>43.9985</v>
      </c>
      <c r="E103">
        <v>44.524900000000002</v>
      </c>
      <c r="F103">
        <v>32865.697999999997</v>
      </c>
      <c r="G103">
        <v>12.593999999999999</v>
      </c>
    </row>
    <row r="104" spans="1:7" x14ac:dyDescent="0.15">
      <c r="A104" s="141" t="s">
        <v>245</v>
      </c>
      <c r="B104">
        <v>996.65200000000004</v>
      </c>
      <c r="C104">
        <v>36.613199999999999</v>
      </c>
      <c r="D104">
        <v>42.3446</v>
      </c>
      <c r="E104">
        <v>42.651600000000002</v>
      </c>
      <c r="F104">
        <v>18839.503000000001</v>
      </c>
      <c r="G104">
        <v>10.332000000000001</v>
      </c>
    </row>
    <row r="105" spans="1:7" x14ac:dyDescent="0.15">
      <c r="A105" s="141" t="s">
        <v>126</v>
      </c>
      <c r="B105">
        <v>4198.4520000000002</v>
      </c>
      <c r="C105">
        <v>38.576900000000002</v>
      </c>
      <c r="D105">
        <v>45.843299999999999</v>
      </c>
      <c r="E105">
        <v>46.023499999999999</v>
      </c>
      <c r="F105">
        <v>51023.603999999999</v>
      </c>
      <c r="G105">
        <v>6.6050000000000004</v>
      </c>
    </row>
    <row r="106" spans="1:7" x14ac:dyDescent="0.15">
      <c r="A106" s="141" t="s">
        <v>127</v>
      </c>
      <c r="B106">
        <v>1772.008</v>
      </c>
      <c r="C106">
        <v>36.986499999999999</v>
      </c>
      <c r="D106">
        <v>44.655799999999999</v>
      </c>
      <c r="E106">
        <v>44.824300000000001</v>
      </c>
      <c r="F106">
        <v>27555.445</v>
      </c>
      <c r="G106">
        <v>5.4740000000000002</v>
      </c>
    </row>
    <row r="107" spans="1:7" x14ac:dyDescent="0.15">
      <c r="A107" s="141" t="s">
        <v>128</v>
      </c>
      <c r="B107">
        <v>813.77599999999995</v>
      </c>
      <c r="C107">
        <v>34.982300000000002</v>
      </c>
      <c r="D107">
        <v>43.190899999999999</v>
      </c>
      <c r="E107">
        <v>43.469000000000001</v>
      </c>
      <c r="F107">
        <v>14727.288</v>
      </c>
      <c r="G107">
        <v>4.5140000000000002</v>
      </c>
    </row>
    <row r="108" spans="1:7" x14ac:dyDescent="0.15">
      <c r="A108" s="141" t="s">
        <v>129</v>
      </c>
      <c r="B108">
        <v>391.16</v>
      </c>
      <c r="C108">
        <v>32.3733</v>
      </c>
      <c r="D108">
        <v>41.236499999999999</v>
      </c>
      <c r="E108">
        <v>41.790100000000002</v>
      </c>
      <c r="F108">
        <v>7664.7929999999997</v>
      </c>
      <c r="G108">
        <v>3.86</v>
      </c>
    </row>
    <row r="109" spans="1:7" x14ac:dyDescent="0.15">
      <c r="A109" s="141" t="s">
        <v>130</v>
      </c>
      <c r="B109">
        <v>2478.34</v>
      </c>
      <c r="C109">
        <v>40.608699999999999</v>
      </c>
      <c r="D109">
        <v>46.082700000000003</v>
      </c>
      <c r="E109">
        <v>47.183700000000002</v>
      </c>
      <c r="F109">
        <v>39500.218000000001</v>
      </c>
      <c r="G109">
        <v>6.7889999999999997</v>
      </c>
    </row>
    <row r="110" spans="1:7" x14ac:dyDescent="0.15">
      <c r="A110" s="141" t="s">
        <v>131</v>
      </c>
      <c r="B110">
        <v>1135.2760000000001</v>
      </c>
      <c r="C110">
        <v>39.495199999999997</v>
      </c>
      <c r="D110">
        <v>45.525700000000001</v>
      </c>
      <c r="E110">
        <v>45.935400000000001</v>
      </c>
      <c r="F110">
        <v>21675.761999999999</v>
      </c>
      <c r="G110">
        <v>5.7629999999999999</v>
      </c>
    </row>
    <row r="111" spans="1:7" x14ac:dyDescent="0.15">
      <c r="A111" s="141" t="s">
        <v>132</v>
      </c>
      <c r="B111">
        <v>533.44000000000005</v>
      </c>
      <c r="C111">
        <v>37.9298</v>
      </c>
      <c r="D111">
        <v>44.670200000000001</v>
      </c>
      <c r="E111">
        <v>44.332700000000003</v>
      </c>
      <c r="F111">
        <v>11268.545</v>
      </c>
      <c r="G111">
        <v>4.8140000000000001</v>
      </c>
    </row>
    <row r="112" spans="1:7" x14ac:dyDescent="0.15">
      <c r="A112" s="141" t="s">
        <v>133</v>
      </c>
      <c r="B112">
        <v>242.20400000000001</v>
      </c>
      <c r="C112">
        <v>35.837299999999999</v>
      </c>
      <c r="D112">
        <v>43.516599999999997</v>
      </c>
      <c r="E112">
        <v>42.331499999999998</v>
      </c>
      <c r="F112">
        <v>5634.0860000000002</v>
      </c>
      <c r="G112">
        <v>4.1900000000000004</v>
      </c>
    </row>
    <row r="113" spans="1:7" x14ac:dyDescent="0.15">
      <c r="A113" s="141" t="s">
        <v>134</v>
      </c>
      <c r="B113">
        <v>944.64</v>
      </c>
      <c r="C113">
        <v>43.492400000000004</v>
      </c>
      <c r="D113">
        <v>47.103200000000001</v>
      </c>
      <c r="E113">
        <v>48.0961</v>
      </c>
      <c r="F113">
        <v>17520.899000000001</v>
      </c>
      <c r="G113">
        <v>4.4640000000000004</v>
      </c>
    </row>
    <row r="114" spans="1:7" x14ac:dyDescent="0.15">
      <c r="A114" s="141" t="s">
        <v>135</v>
      </c>
      <c r="B114">
        <v>515.84</v>
      </c>
      <c r="C114">
        <v>42.2211</v>
      </c>
      <c r="D114">
        <v>46.317599999999999</v>
      </c>
      <c r="E114">
        <v>47.140999999999998</v>
      </c>
      <c r="F114">
        <v>10006.723</v>
      </c>
      <c r="G114">
        <v>4.1260000000000003</v>
      </c>
    </row>
    <row r="115" spans="1:7" x14ac:dyDescent="0.15">
      <c r="A115" s="141" t="s">
        <v>136</v>
      </c>
      <c r="B115">
        <v>294.2</v>
      </c>
      <c r="C115">
        <v>40.448700000000002</v>
      </c>
      <c r="D115">
        <v>45.252800000000001</v>
      </c>
      <c r="E115">
        <v>45.803100000000001</v>
      </c>
      <c r="F115">
        <v>5655.7520000000004</v>
      </c>
      <c r="G115">
        <v>4.0679999999999996</v>
      </c>
    </row>
    <row r="116" spans="1:7" x14ac:dyDescent="0.15">
      <c r="A116" s="141" t="s">
        <v>137</v>
      </c>
      <c r="B116">
        <v>163.608</v>
      </c>
      <c r="C116">
        <v>37.884700000000002</v>
      </c>
      <c r="D116">
        <v>43.508000000000003</v>
      </c>
      <c r="E116">
        <v>43.912700000000001</v>
      </c>
      <c r="F116">
        <v>3150.1889999999999</v>
      </c>
      <c r="G116">
        <v>3.9430000000000001</v>
      </c>
    </row>
    <row r="117" spans="1:7" x14ac:dyDescent="0.15">
      <c r="A117" s="141" t="s">
        <v>138</v>
      </c>
      <c r="B117">
        <v>1335.836</v>
      </c>
      <c r="C117">
        <v>42.864600000000003</v>
      </c>
      <c r="D117">
        <v>48.684100000000001</v>
      </c>
      <c r="E117">
        <v>48.4651</v>
      </c>
      <c r="F117">
        <v>20112.892</v>
      </c>
      <c r="G117">
        <v>4.4829999999999997</v>
      </c>
    </row>
    <row r="118" spans="1:7" x14ac:dyDescent="0.15">
      <c r="A118" s="141" t="s">
        <v>139</v>
      </c>
      <c r="B118">
        <v>722.79200000000003</v>
      </c>
      <c r="C118">
        <v>41.596800000000002</v>
      </c>
      <c r="D118">
        <v>47.8688</v>
      </c>
      <c r="E118">
        <v>47.339599999999997</v>
      </c>
      <c r="F118">
        <v>11528</v>
      </c>
      <c r="G118">
        <v>4.2519999999999998</v>
      </c>
    </row>
    <row r="119" spans="1:7" x14ac:dyDescent="0.15">
      <c r="A119" s="141" t="s">
        <v>140</v>
      </c>
      <c r="B119">
        <v>406.6</v>
      </c>
      <c r="C119">
        <v>39.722499999999997</v>
      </c>
      <c r="D119">
        <v>46.663899999999998</v>
      </c>
      <c r="E119">
        <v>45.861600000000003</v>
      </c>
      <c r="F119">
        <v>6654.3710000000001</v>
      </c>
      <c r="G119">
        <v>4.0140000000000002</v>
      </c>
    </row>
    <row r="120" spans="1:7" x14ac:dyDescent="0.15">
      <c r="A120" s="141" t="s">
        <v>141</v>
      </c>
      <c r="B120">
        <v>223.77199999999999</v>
      </c>
      <c r="C120">
        <v>37.011299999999999</v>
      </c>
      <c r="D120">
        <v>45.199399999999997</v>
      </c>
      <c r="E120">
        <v>43.265099999999997</v>
      </c>
      <c r="F120">
        <v>3855.2339999999999</v>
      </c>
      <c r="G120">
        <v>4.016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15">
      <c r="A146" s="141" t="s">
        <v>255</v>
      </c>
      <c r="B146">
        <v>8526.1200000000008</v>
      </c>
      <c r="C146">
        <v>39.5364</v>
      </c>
      <c r="D146">
        <v>47.689100000000003</v>
      </c>
      <c r="E146">
        <v>45.265099999999997</v>
      </c>
      <c r="F146">
        <v>109730.211</v>
      </c>
      <c r="G146">
        <v>29.58</v>
      </c>
    </row>
    <row r="147" spans="1:7" x14ac:dyDescent="0.15">
      <c r="A147" s="141" t="s">
        <v>256</v>
      </c>
      <c r="B147">
        <v>4641.3760000000002</v>
      </c>
      <c r="C147">
        <v>38.535899999999998</v>
      </c>
      <c r="D147">
        <v>46.508099999999999</v>
      </c>
      <c r="E147">
        <v>43.863199999999999</v>
      </c>
      <c r="F147">
        <v>58841.938000000002</v>
      </c>
      <c r="G147">
        <v>26.038</v>
      </c>
    </row>
    <row r="148" spans="1:7" x14ac:dyDescent="0.15">
      <c r="A148" s="141" t="s">
        <v>257</v>
      </c>
      <c r="B148">
        <v>2524.3679999999999</v>
      </c>
      <c r="C148">
        <v>36.977899999999998</v>
      </c>
      <c r="D148">
        <v>45.150399999999998</v>
      </c>
      <c r="E148">
        <v>42.247599999999998</v>
      </c>
      <c r="F148">
        <v>30970.300999999999</v>
      </c>
      <c r="G148">
        <v>23.023</v>
      </c>
    </row>
    <row r="149" spans="1:7" x14ac:dyDescent="0.15">
      <c r="A149" s="141" t="s">
        <v>258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15">
      <c r="A150" s="141" t="s">
        <v>259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15">
      <c r="A151" s="141" t="s">
        <v>260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15">
      <c r="A152" s="141" t="s">
        <v>261</v>
      </c>
      <c r="B152">
        <v>9317.1679999999997</v>
      </c>
      <c r="C152">
        <v>32.770200000000003</v>
      </c>
      <c r="D152">
        <v>30.515000000000001</v>
      </c>
      <c r="E152">
        <v>32.304499999999997</v>
      </c>
      <c r="F152">
        <v>85645.491999999998</v>
      </c>
      <c r="G152">
        <v>22.687000000000001</v>
      </c>
    </row>
    <row r="153" spans="1:7" x14ac:dyDescent="0.15">
      <c r="A153" s="141" t="s">
        <v>262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15">
      <c r="A154" s="141" t="s">
        <v>263</v>
      </c>
      <c r="B154">
        <v>23179.16</v>
      </c>
      <c r="C154">
        <v>37.520699999999998</v>
      </c>
      <c r="D154">
        <v>38.4985</v>
      </c>
      <c r="E154">
        <v>39.794699999999999</v>
      </c>
      <c r="F154">
        <v>111533.125</v>
      </c>
      <c r="G154">
        <v>16.571999999999999</v>
      </c>
    </row>
    <row r="155" spans="1:7" x14ac:dyDescent="0.15">
      <c r="A155" s="141" t="s">
        <v>264</v>
      </c>
      <c r="B155">
        <v>12057.768</v>
      </c>
      <c r="C155">
        <v>35.950400000000002</v>
      </c>
      <c r="D155">
        <v>36.339700000000001</v>
      </c>
      <c r="E155">
        <v>38.344000000000001</v>
      </c>
      <c r="F155">
        <v>70395.366999999998</v>
      </c>
      <c r="G155">
        <v>14.884</v>
      </c>
    </row>
    <row r="156" spans="1:7" x14ac:dyDescent="0.15">
      <c r="A156" s="141" t="s">
        <v>265</v>
      </c>
      <c r="B156">
        <v>5904.152</v>
      </c>
      <c r="C156">
        <v>34.029299999999999</v>
      </c>
      <c r="D156">
        <v>33.937100000000001</v>
      </c>
      <c r="E156">
        <v>36.658499999999997</v>
      </c>
      <c r="F156">
        <v>42651.464999999997</v>
      </c>
      <c r="G156">
        <v>13.635999999999999</v>
      </c>
    </row>
    <row r="157" spans="1:7" x14ac:dyDescent="0.15">
      <c r="A157" s="141" t="s">
        <v>266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15">
      <c r="A158" s="141" t="s">
        <v>267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15">
      <c r="A159" s="141" t="s">
        <v>268</v>
      </c>
      <c r="B159">
        <v>5216.5839999999998</v>
      </c>
      <c r="C159">
        <v>35.854500000000002</v>
      </c>
      <c r="D159">
        <v>43.015000000000001</v>
      </c>
      <c r="E159">
        <v>40.587499999999999</v>
      </c>
      <c r="F159">
        <v>79749.766000000003</v>
      </c>
      <c r="G159">
        <v>22.172000000000001</v>
      </c>
    </row>
    <row r="160" spans="1:7" x14ac:dyDescent="0.15">
      <c r="A160" s="141" t="s">
        <v>269</v>
      </c>
      <c r="B160">
        <v>2593.232</v>
      </c>
      <c r="C160">
        <v>34.264600000000002</v>
      </c>
      <c r="D160">
        <v>41.6995</v>
      </c>
      <c r="E160">
        <v>39.395099999999999</v>
      </c>
      <c r="F160">
        <v>39864.828000000001</v>
      </c>
      <c r="G160">
        <v>17.759</v>
      </c>
    </row>
    <row r="161" spans="1:7" x14ac:dyDescent="0.15">
      <c r="A161" s="141" t="s">
        <v>142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15">
      <c r="A162" s="141" t="s">
        <v>143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15">
      <c r="A163" s="141" t="s">
        <v>144</v>
      </c>
      <c r="B163">
        <v>1920.8416</v>
      </c>
      <c r="C163">
        <v>34.773699999999998</v>
      </c>
      <c r="D163">
        <v>37.941600000000001</v>
      </c>
      <c r="E163">
        <v>39.782899999999998</v>
      </c>
      <c r="F163">
        <v>112512.70299999999</v>
      </c>
      <c r="G163">
        <v>19.622</v>
      </c>
    </row>
    <row r="164" spans="1:7" x14ac:dyDescent="0.15">
      <c r="A164" s="141" t="s">
        <v>145</v>
      </c>
      <c r="B164">
        <v>910.79520000000002</v>
      </c>
      <c r="C164">
        <v>32.440300000000001</v>
      </c>
      <c r="D164">
        <v>36.847000000000001</v>
      </c>
      <c r="E164">
        <v>38.143099999999997</v>
      </c>
      <c r="F164">
        <v>65150.218999999997</v>
      </c>
      <c r="G164">
        <v>16.460999999999999</v>
      </c>
    </row>
    <row r="165" spans="1:7" x14ac:dyDescent="0.15">
      <c r="A165" s="141" t="s">
        <v>146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15">
      <c r="A166" s="141" t="s">
        <v>147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15">
      <c r="A167" s="141" t="s">
        <v>148</v>
      </c>
      <c r="B167">
        <v>2476.7536</v>
      </c>
      <c r="C167">
        <v>35.792400000000001</v>
      </c>
      <c r="D167">
        <v>41.178199999999997</v>
      </c>
      <c r="E167">
        <v>41.060400000000001</v>
      </c>
      <c r="F167">
        <v>121043.844</v>
      </c>
      <c r="G167">
        <v>27.443000000000001</v>
      </c>
    </row>
    <row r="168" spans="1:7" x14ac:dyDescent="0.15">
      <c r="A168" s="141" t="s">
        <v>149</v>
      </c>
      <c r="B168">
        <v>1228.152</v>
      </c>
      <c r="C168">
        <v>33.708500000000001</v>
      </c>
      <c r="D168">
        <v>39.783700000000003</v>
      </c>
      <c r="E168">
        <v>39.192999999999998</v>
      </c>
      <c r="F168">
        <v>68557.327999999994</v>
      </c>
      <c r="G168">
        <v>23.184000000000001</v>
      </c>
    </row>
    <row r="169" spans="1:7" x14ac:dyDescent="0.15">
      <c r="A169" s="141" t="s">
        <v>270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15">
      <c r="A170" s="141" t="s">
        <v>271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15">
      <c r="A171" s="141" t="s">
        <v>272</v>
      </c>
      <c r="B171">
        <v>1498.9151999999999</v>
      </c>
      <c r="C171">
        <v>36.689500000000002</v>
      </c>
      <c r="D171">
        <v>41.300899999999999</v>
      </c>
      <c r="E171">
        <v>41.998100000000001</v>
      </c>
      <c r="F171">
        <v>96464.375</v>
      </c>
      <c r="G171">
        <v>27.398</v>
      </c>
    </row>
    <row r="172" spans="1:7" x14ac:dyDescent="0.15">
      <c r="A172" s="141" t="s">
        <v>273</v>
      </c>
      <c r="B172">
        <v>703.84159999999997</v>
      </c>
      <c r="C172">
        <v>34.394399999999997</v>
      </c>
      <c r="D172">
        <v>40.152900000000002</v>
      </c>
      <c r="E172">
        <v>40.6661</v>
      </c>
      <c r="F172">
        <v>51744.211000000003</v>
      </c>
      <c r="G172">
        <v>21.925999999999998</v>
      </c>
    </row>
    <row r="173" spans="1:7" x14ac:dyDescent="0.15">
      <c r="A173" s="141" t="s">
        <v>274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15">
      <c r="A174" s="141" t="s">
        <v>275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15">
      <c r="A175" s="141" t="s">
        <v>276</v>
      </c>
      <c r="B175">
        <v>2334.9023999999999</v>
      </c>
      <c r="C175">
        <v>38.224699999999999</v>
      </c>
      <c r="D175">
        <v>42.9664</v>
      </c>
      <c r="E175">
        <v>43.298000000000002</v>
      </c>
      <c r="F175">
        <v>107804.344</v>
      </c>
      <c r="G175">
        <v>29.652999999999999</v>
      </c>
    </row>
    <row r="176" spans="1:7" x14ac:dyDescent="0.15">
      <c r="A176" s="141" t="s">
        <v>277</v>
      </c>
      <c r="B176">
        <v>1215.3312000000001</v>
      </c>
      <c r="C176">
        <v>35.293399999999998</v>
      </c>
      <c r="D176">
        <v>41.494900000000001</v>
      </c>
      <c r="E176">
        <v>41.563699999999997</v>
      </c>
      <c r="F176">
        <v>64491.461000000003</v>
      </c>
      <c r="G176">
        <v>24.786999999999999</v>
      </c>
    </row>
    <row r="177" spans="1:7" x14ac:dyDescent="0.15">
      <c r="A177" s="141" t="s">
        <v>150</v>
      </c>
      <c r="B177" s="71">
        <v>0</v>
      </c>
      <c r="C177" s="71">
        <v>0</v>
      </c>
      <c r="D177" s="71">
        <v>0</v>
      </c>
      <c r="E177" s="71">
        <v>0</v>
      </c>
      <c r="F177" s="71">
        <v>0</v>
      </c>
      <c r="G177" s="71">
        <v>0</v>
      </c>
    </row>
    <row r="178" spans="1:7" x14ac:dyDescent="0.15">
      <c r="A178" s="141" t="s">
        <v>151</v>
      </c>
      <c r="B178" s="71">
        <v>1677.4480000000001</v>
      </c>
      <c r="C178" s="71">
        <v>36.436399999999999</v>
      </c>
      <c r="D178" s="71">
        <v>43.790799999999997</v>
      </c>
      <c r="E178" s="71">
        <v>44.095700000000001</v>
      </c>
      <c r="F178" s="71">
        <v>85448.054999999993</v>
      </c>
      <c r="G178" s="71">
        <v>13.468999999999999</v>
      </c>
    </row>
    <row r="179" spans="1:7" x14ac:dyDescent="0.15">
      <c r="A179" s="141" t="s">
        <v>152</v>
      </c>
      <c r="B179" s="71">
        <v>659.15520000000004</v>
      </c>
      <c r="C179" s="71">
        <v>33.984400000000001</v>
      </c>
      <c r="D179" s="71">
        <v>42.138599999999997</v>
      </c>
      <c r="E179" s="71">
        <v>42.463299999999997</v>
      </c>
      <c r="F179" s="71">
        <v>48867.461000000003</v>
      </c>
      <c r="G179" s="71">
        <v>9.7539999999999996</v>
      </c>
    </row>
    <row r="180" spans="1:7" x14ac:dyDescent="0.15">
      <c r="A180" s="141" t="s">
        <v>153</v>
      </c>
      <c r="B180" s="71">
        <v>276.43360000000001</v>
      </c>
      <c r="C180" s="71">
        <v>30.956800000000001</v>
      </c>
      <c r="D180" s="71">
        <v>40.897500000000001</v>
      </c>
      <c r="E180" s="71">
        <v>41.325699999999998</v>
      </c>
      <c r="F180" s="71">
        <v>29194.437999999998</v>
      </c>
      <c r="G180" s="71">
        <v>7.2539999999999996</v>
      </c>
    </row>
    <row r="181" spans="1:7" x14ac:dyDescent="0.15">
      <c r="A181" s="141" t="s">
        <v>154</v>
      </c>
      <c r="B181" s="71">
        <v>0</v>
      </c>
      <c r="C181" s="71">
        <v>0</v>
      </c>
      <c r="D181" s="71">
        <v>0</v>
      </c>
      <c r="E181" s="71">
        <v>0</v>
      </c>
      <c r="F181" s="71">
        <v>0</v>
      </c>
      <c r="G181" s="71">
        <v>0</v>
      </c>
    </row>
    <row r="182" spans="1:7" x14ac:dyDescent="0.15">
      <c r="A182" s="141" t="s">
        <v>155</v>
      </c>
      <c r="B182" s="71">
        <v>1796.6815999999999</v>
      </c>
      <c r="C182" s="71">
        <v>38.8658</v>
      </c>
      <c r="D182" s="71">
        <v>44.351500000000001</v>
      </c>
      <c r="E182" s="71">
        <v>44.365699999999997</v>
      </c>
      <c r="F182" s="71">
        <v>84338.304999999993</v>
      </c>
      <c r="G182" s="71">
        <v>15.752000000000001</v>
      </c>
    </row>
    <row r="183" spans="1:7" x14ac:dyDescent="0.15">
      <c r="A183" s="141" t="s">
        <v>156</v>
      </c>
      <c r="B183" s="71">
        <v>861.52319999999997</v>
      </c>
      <c r="C183" s="71">
        <v>36.928899999999999</v>
      </c>
      <c r="D183" s="71">
        <v>43.293799999999997</v>
      </c>
      <c r="E183" s="71">
        <v>42.518799999999999</v>
      </c>
      <c r="F183" s="71">
        <v>47672.362999999998</v>
      </c>
      <c r="G183" s="71">
        <v>12.662000000000001</v>
      </c>
    </row>
    <row r="184" spans="1:7" x14ac:dyDescent="0.15">
      <c r="A184" s="141" t="s">
        <v>157</v>
      </c>
      <c r="B184" s="71">
        <v>403.68799999999999</v>
      </c>
      <c r="C184" s="71">
        <v>34.716700000000003</v>
      </c>
      <c r="D184" s="71">
        <v>42.020099999999999</v>
      </c>
      <c r="E184" s="71">
        <v>40.642099999999999</v>
      </c>
      <c r="F184" s="71">
        <v>25391.268</v>
      </c>
      <c r="G184" s="71">
        <v>9.0069999999999997</v>
      </c>
    </row>
    <row r="185" spans="1:7" x14ac:dyDescent="0.15">
      <c r="A185" s="141" t="s">
        <v>158</v>
      </c>
      <c r="B185" s="71">
        <v>969.08</v>
      </c>
      <c r="C185" s="71">
        <v>42.946100000000001</v>
      </c>
      <c r="D185" s="71">
        <v>46.5152</v>
      </c>
      <c r="E185" s="71">
        <v>47.292499999999997</v>
      </c>
      <c r="F185" s="71">
        <v>56499.957000000002</v>
      </c>
      <c r="G185" s="71">
        <v>8.7720000000000002</v>
      </c>
    </row>
    <row r="186" spans="1:7" x14ac:dyDescent="0.15">
      <c r="A186" s="141" t="s">
        <v>159</v>
      </c>
      <c r="B186" s="71">
        <v>495.84480000000002</v>
      </c>
      <c r="C186" s="71">
        <v>41.306899999999999</v>
      </c>
      <c r="D186" s="71">
        <v>45.576999999999998</v>
      </c>
      <c r="E186" s="71">
        <v>46.17</v>
      </c>
      <c r="F186" s="71">
        <v>33617.483999999997</v>
      </c>
      <c r="G186" s="71">
        <v>7.4329999999999998</v>
      </c>
    </row>
    <row r="187" spans="1:7" x14ac:dyDescent="0.15">
      <c r="A187" s="141" t="s">
        <v>160</v>
      </c>
      <c r="B187" s="71">
        <v>263.3424</v>
      </c>
      <c r="C187" s="71">
        <v>39.142699999999998</v>
      </c>
      <c r="D187" s="71">
        <v>44.177799999999998</v>
      </c>
      <c r="E187" s="71">
        <v>44.761000000000003</v>
      </c>
      <c r="F187" s="71">
        <v>19386.967000000001</v>
      </c>
      <c r="G187" s="71">
        <v>5.6029999999999998</v>
      </c>
    </row>
    <row r="188" spans="1:7" x14ac:dyDescent="0.15">
      <c r="A188" s="141" t="s">
        <v>161</v>
      </c>
      <c r="B188" s="71">
        <v>143.5728</v>
      </c>
      <c r="C188" s="71">
        <v>36.380699999999997</v>
      </c>
      <c r="D188" s="71">
        <v>42.5351</v>
      </c>
      <c r="E188" s="71">
        <v>42.828099999999999</v>
      </c>
      <c r="F188" s="71">
        <v>11421.744000000001</v>
      </c>
      <c r="G188" s="71">
        <v>4.7640000000000002</v>
      </c>
    </row>
    <row r="189" spans="1:7" x14ac:dyDescent="0.15">
      <c r="A189" s="141" t="s">
        <v>162</v>
      </c>
      <c r="B189" s="71">
        <v>1344.4384</v>
      </c>
      <c r="C189" s="71">
        <v>42.6404</v>
      </c>
      <c r="D189" s="71">
        <v>48.012599999999999</v>
      </c>
      <c r="E189" s="71">
        <v>47.463700000000003</v>
      </c>
      <c r="F189" s="71">
        <v>60866.612999999998</v>
      </c>
      <c r="G189" s="71">
        <v>9.8510000000000009</v>
      </c>
    </row>
    <row r="190" spans="1:7" x14ac:dyDescent="0.15">
      <c r="A190" s="141" t="s">
        <v>163</v>
      </c>
      <c r="B190" s="71">
        <v>660.74080000000004</v>
      </c>
      <c r="C190" s="71">
        <v>40.947499999999998</v>
      </c>
      <c r="D190" s="71">
        <v>47.2423</v>
      </c>
      <c r="E190" s="71">
        <v>46.268700000000003</v>
      </c>
      <c r="F190" s="71">
        <v>35176.175999999999</v>
      </c>
      <c r="G190" s="71">
        <v>7.1239999999999997</v>
      </c>
    </row>
    <row r="191" spans="1:7" x14ac:dyDescent="0.15">
      <c r="A191" s="141" t="s">
        <v>164</v>
      </c>
      <c r="B191" s="71">
        <v>350.69760000000002</v>
      </c>
      <c r="C191" s="71">
        <v>38.663400000000003</v>
      </c>
      <c r="D191" s="71">
        <v>46.154499999999999</v>
      </c>
      <c r="E191" s="71">
        <v>44.591999999999999</v>
      </c>
      <c r="F191" s="71">
        <v>21055.178</v>
      </c>
      <c r="G191" s="71">
        <v>6.4249999999999998</v>
      </c>
    </row>
    <row r="192" spans="1:7" x14ac:dyDescent="0.15">
      <c r="A192" s="141" t="s">
        <v>165</v>
      </c>
      <c r="B192" s="71">
        <v>192.2576</v>
      </c>
      <c r="C192" s="71">
        <v>35.631399999999999</v>
      </c>
      <c r="D192" s="71">
        <v>44.6372</v>
      </c>
      <c r="E192" s="71">
        <v>42.174700000000001</v>
      </c>
      <c r="F192" s="71">
        <v>13238.692999999999</v>
      </c>
      <c r="G192" s="71">
        <v>5.4960000000000004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2020-09-17T14:48:20Z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