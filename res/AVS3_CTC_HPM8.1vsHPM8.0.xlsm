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3" codeName="{3D1A710C-6663-3D7B-7F91-EC182F24A4BC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D\code_AVS\code_HPM\HPM-ljr-8.0\res\"/>
    </mc:Choice>
  </mc:AlternateContent>
  <xr:revisionPtr revIDLastSave="0" documentId="13_ncr:1_{B98CDC06-4A0D-4BD6-973A-08D167BFD148}" xr6:coauthVersionLast="36" xr6:coauthVersionMax="36" xr10:uidLastSave="{00000000-0000-0000-0000-000000000000}"/>
  <bookViews>
    <workbookView xWindow="0" yWindow="4800" windowWidth="28215" windowHeight="13500" tabRatio="884" xr2:uid="{00000000-000D-0000-FFFF-FFFF00000000}"/>
  </bookViews>
  <sheets>
    <sheet name="Summary_SEQ" sheetId="30" r:id="rId1"/>
    <sheet name="Summary" sheetId="9" r:id="rId2"/>
    <sheet name="Plot" sheetId="10" r:id="rId3"/>
    <sheet name="AI-10" sheetId="27" r:id="rId4"/>
    <sheet name="RA-10" sheetId="20" r:id="rId5"/>
    <sheet name="LDB-10" sheetId="25" r:id="rId6"/>
    <sheet name="LDP-10" sheetId="29" r:id="rId7"/>
    <sheet name="Reference" sheetId="17" r:id="rId8"/>
    <sheet name="Test" sheetId="18" r:id="rId9"/>
  </sheets>
  <functionGroups builtInGroupCount="19"/>
  <definedNames>
    <definedName name="_xlnm._FilterDatabase" localSheetId="2" hidden="1">Plot!$A$1:$B$2</definedName>
  </definedNames>
  <calcPr calcId="191029"/>
</workbook>
</file>

<file path=xl/calcChain.xml><?xml version="1.0" encoding="utf-8"?>
<calcChain xmlns="http://schemas.openxmlformats.org/spreadsheetml/2006/main">
  <c r="C3" i="9" l="1"/>
  <c r="C13" i="9"/>
  <c r="B50" i="30" l="1"/>
  <c r="B49" i="30"/>
  <c r="B48" i="30"/>
  <c r="B47" i="30"/>
  <c r="I50" i="30"/>
  <c r="I49" i="30"/>
  <c r="I48" i="30"/>
  <c r="I47" i="30"/>
  <c r="I22" i="30"/>
  <c r="I21" i="30"/>
  <c r="I20" i="30"/>
  <c r="I19" i="30"/>
  <c r="B22" i="30"/>
  <c r="B21" i="30"/>
  <c r="B20" i="30"/>
  <c r="B19" i="30"/>
  <c r="Q74" i="29"/>
  <c r="I74" i="29"/>
  <c r="P74" i="29"/>
  <c r="O74" i="29"/>
  <c r="N74" i="29"/>
  <c r="M74" i="29"/>
  <c r="L74" i="29"/>
  <c r="H74" i="29"/>
  <c r="G74" i="29"/>
  <c r="F74" i="29"/>
  <c r="E74" i="29"/>
  <c r="D74" i="29"/>
  <c r="Q73" i="29"/>
  <c r="P73" i="29"/>
  <c r="R73" i="29"/>
  <c r="O73" i="29"/>
  <c r="N73" i="29"/>
  <c r="M73" i="29"/>
  <c r="L73" i="29"/>
  <c r="I73" i="29"/>
  <c r="H73" i="29"/>
  <c r="J73" i="29"/>
  <c r="G73" i="29"/>
  <c r="F73" i="29"/>
  <c r="E73" i="29"/>
  <c r="D73" i="29"/>
  <c r="Q72" i="29"/>
  <c r="I72" i="29"/>
  <c r="P72" i="29"/>
  <c r="R72" i="29" s="1"/>
  <c r="H72" i="29"/>
  <c r="O72" i="29"/>
  <c r="N72" i="29"/>
  <c r="M72" i="29"/>
  <c r="L72" i="29"/>
  <c r="J72" i="29"/>
  <c r="G72" i="29"/>
  <c r="F72" i="29"/>
  <c r="E72" i="29"/>
  <c r="D72" i="29"/>
  <c r="Q71" i="29"/>
  <c r="P71" i="29"/>
  <c r="R71" i="29" s="1"/>
  <c r="O71" i="29"/>
  <c r="N71" i="29"/>
  <c r="M71" i="29"/>
  <c r="L71" i="29"/>
  <c r="I71" i="29"/>
  <c r="H71" i="29"/>
  <c r="J71" i="29" s="1"/>
  <c r="G71" i="29"/>
  <c r="F71" i="29"/>
  <c r="E71" i="29"/>
  <c r="D71" i="29"/>
  <c r="Q70" i="29"/>
  <c r="I70" i="29"/>
  <c r="P70" i="29"/>
  <c r="R70" i="29" s="1"/>
  <c r="O70" i="29"/>
  <c r="N70" i="29"/>
  <c r="M70" i="29"/>
  <c r="L70" i="29"/>
  <c r="H70" i="29"/>
  <c r="J70" i="29" s="1"/>
  <c r="G70" i="29"/>
  <c r="F70" i="29"/>
  <c r="E70" i="29"/>
  <c r="D70" i="29"/>
  <c r="Q69" i="29"/>
  <c r="I69" i="29"/>
  <c r="P69" i="29"/>
  <c r="R69" i="29"/>
  <c r="O69" i="29"/>
  <c r="N69" i="29"/>
  <c r="M69" i="29"/>
  <c r="L69" i="29"/>
  <c r="H69" i="29"/>
  <c r="J69" i="29" s="1"/>
  <c r="G69" i="29"/>
  <c r="F69" i="29"/>
  <c r="E69" i="29"/>
  <c r="D69" i="29"/>
  <c r="Q68" i="29"/>
  <c r="P68" i="29"/>
  <c r="O68" i="29"/>
  <c r="N68" i="29"/>
  <c r="M68" i="29"/>
  <c r="L68" i="29"/>
  <c r="I68" i="29"/>
  <c r="H68" i="29"/>
  <c r="J68" i="29" s="1"/>
  <c r="G68" i="29"/>
  <c r="F68" i="29"/>
  <c r="E68" i="29"/>
  <c r="D68" i="29"/>
  <c r="Q67" i="29"/>
  <c r="T67" i="29" s="1"/>
  <c r="N21" i="30" s="1"/>
  <c r="I67" i="29"/>
  <c r="P67" i="29"/>
  <c r="R67" i="29" s="1"/>
  <c r="O67" i="29"/>
  <c r="N67" i="29"/>
  <c r="M67" i="29"/>
  <c r="L67" i="29"/>
  <c r="H67" i="29"/>
  <c r="J67" i="29"/>
  <c r="G67" i="29"/>
  <c r="F67" i="29"/>
  <c r="E67" i="29"/>
  <c r="D67" i="29"/>
  <c r="Q66" i="29"/>
  <c r="P66" i="29"/>
  <c r="R66" i="29" s="1"/>
  <c r="O66" i="29"/>
  <c r="N66" i="29"/>
  <c r="M66" i="29"/>
  <c r="L66" i="29"/>
  <c r="I66" i="29"/>
  <c r="H66" i="29"/>
  <c r="J66" i="29" s="1"/>
  <c r="G66" i="29"/>
  <c r="F66" i="29"/>
  <c r="E66" i="29"/>
  <c r="D66" i="29"/>
  <c r="Q65" i="29"/>
  <c r="I65" i="29"/>
  <c r="T65" i="29"/>
  <c r="P65" i="29"/>
  <c r="R65" i="29"/>
  <c r="O65" i="29"/>
  <c r="N65" i="29"/>
  <c r="M65" i="29"/>
  <c r="L65" i="29"/>
  <c r="H65" i="29"/>
  <c r="J65" i="29" s="1"/>
  <c r="G65" i="29"/>
  <c r="F65" i="29"/>
  <c r="E65" i="29"/>
  <c r="D65" i="29"/>
  <c r="Q64" i="29"/>
  <c r="P64" i="29"/>
  <c r="R64" i="29" s="1"/>
  <c r="O64" i="29"/>
  <c r="N64" i="29"/>
  <c r="M64" i="29"/>
  <c r="L64" i="29"/>
  <c r="I64" i="29"/>
  <c r="H64" i="29"/>
  <c r="J64" i="29"/>
  <c r="G64" i="29"/>
  <c r="F64" i="29"/>
  <c r="E64" i="29"/>
  <c r="D64" i="29"/>
  <c r="Q63" i="29"/>
  <c r="I63" i="29"/>
  <c r="I79" i="29" s="1"/>
  <c r="P63" i="29"/>
  <c r="H63" i="29"/>
  <c r="J63" i="29" s="1"/>
  <c r="O63" i="29"/>
  <c r="N63" i="29"/>
  <c r="M63" i="29"/>
  <c r="L63" i="29"/>
  <c r="G63" i="29"/>
  <c r="F63" i="29"/>
  <c r="E63" i="29"/>
  <c r="D63" i="29"/>
  <c r="Q62" i="29"/>
  <c r="P62" i="29"/>
  <c r="R62" i="29"/>
  <c r="O62" i="29"/>
  <c r="N62" i="29"/>
  <c r="M62" i="29"/>
  <c r="L62" i="29"/>
  <c r="I62" i="29"/>
  <c r="H62" i="29"/>
  <c r="J62" i="29" s="1"/>
  <c r="G62" i="29"/>
  <c r="F62" i="29"/>
  <c r="E62" i="29"/>
  <c r="D62" i="29"/>
  <c r="Q61" i="29"/>
  <c r="P61" i="29"/>
  <c r="R61" i="29" s="1"/>
  <c r="O61" i="29"/>
  <c r="N61" i="29"/>
  <c r="M61" i="29"/>
  <c r="L61" i="29"/>
  <c r="I61" i="29"/>
  <c r="H61" i="29"/>
  <c r="G61" i="29"/>
  <c r="F61" i="29"/>
  <c r="E61" i="29"/>
  <c r="D61" i="29"/>
  <c r="Q60" i="29"/>
  <c r="T60" i="29" s="1"/>
  <c r="I60" i="29"/>
  <c r="P60" i="29"/>
  <c r="O60" i="29"/>
  <c r="N60" i="29"/>
  <c r="M60" i="29"/>
  <c r="L60" i="29"/>
  <c r="H60" i="29"/>
  <c r="G60" i="29"/>
  <c r="F60" i="29"/>
  <c r="E60" i="29"/>
  <c r="D60" i="29"/>
  <c r="Q59" i="29"/>
  <c r="P59" i="29"/>
  <c r="R59" i="29" s="1"/>
  <c r="O59" i="29"/>
  <c r="N59" i="29"/>
  <c r="M59" i="29"/>
  <c r="L59" i="29"/>
  <c r="I59" i="29"/>
  <c r="H59" i="29"/>
  <c r="J59" i="29" s="1"/>
  <c r="G59" i="29"/>
  <c r="F59" i="29"/>
  <c r="E59" i="29"/>
  <c r="D59" i="29"/>
  <c r="D4" i="29"/>
  <c r="E4" i="29"/>
  <c r="F4" i="29"/>
  <c r="G4" i="29"/>
  <c r="H4" i="29"/>
  <c r="J4" i="29" s="1"/>
  <c r="I4" i="29"/>
  <c r="L4" i="29"/>
  <c r="M4" i="29"/>
  <c r="N4" i="29"/>
  <c r="O4" i="29"/>
  <c r="P4" i="29"/>
  <c r="R4" i="29" s="1"/>
  <c r="Q4" i="29"/>
  <c r="T4" i="29" s="1"/>
  <c r="D5" i="29"/>
  <c r="E5" i="29"/>
  <c r="F5" i="29"/>
  <c r="G5" i="29"/>
  <c r="H5" i="29"/>
  <c r="J5" i="29"/>
  <c r="I5" i="29"/>
  <c r="I3" i="29"/>
  <c r="I6" i="29"/>
  <c r="I7" i="29"/>
  <c r="I8" i="29"/>
  <c r="I9" i="29"/>
  <c r="I10" i="29"/>
  <c r="I11" i="29"/>
  <c r="I12" i="29"/>
  <c r="I13" i="29"/>
  <c r="I14" i="29"/>
  <c r="I15" i="29"/>
  <c r="I16" i="29"/>
  <c r="I17" i="29"/>
  <c r="I18" i="29"/>
  <c r="L5" i="29"/>
  <c r="M5" i="29"/>
  <c r="N5" i="29"/>
  <c r="O5" i="29"/>
  <c r="P5" i="29"/>
  <c r="Q5" i="29"/>
  <c r="D6" i="29"/>
  <c r="E6" i="29"/>
  <c r="F6" i="29"/>
  <c r="G6" i="29"/>
  <c r="H6" i="29"/>
  <c r="J6" i="29" s="1"/>
  <c r="L6" i="29"/>
  <c r="M6" i="29"/>
  <c r="N6" i="29"/>
  <c r="O6" i="29"/>
  <c r="P6" i="29"/>
  <c r="R6" i="29"/>
  <c r="Q6" i="29"/>
  <c r="D7" i="29"/>
  <c r="E7" i="29"/>
  <c r="F7" i="29"/>
  <c r="G7" i="29"/>
  <c r="H7" i="29"/>
  <c r="J7" i="29" s="1"/>
  <c r="L7" i="29"/>
  <c r="M7" i="29"/>
  <c r="N7" i="29"/>
  <c r="O7" i="29"/>
  <c r="P7" i="29"/>
  <c r="R7" i="29" s="1"/>
  <c r="Q7" i="29"/>
  <c r="D8" i="29"/>
  <c r="E8" i="29"/>
  <c r="F8" i="29"/>
  <c r="G8" i="29"/>
  <c r="H8" i="29"/>
  <c r="J8" i="29" s="1"/>
  <c r="L8" i="29"/>
  <c r="M8" i="29"/>
  <c r="N8" i="29"/>
  <c r="O8" i="29"/>
  <c r="P8" i="29"/>
  <c r="Q8" i="29"/>
  <c r="D9" i="29"/>
  <c r="E9" i="29"/>
  <c r="F9" i="29"/>
  <c r="G9" i="29"/>
  <c r="H9" i="29"/>
  <c r="J9" i="29" s="1"/>
  <c r="L9" i="29"/>
  <c r="M9" i="29"/>
  <c r="N9" i="29"/>
  <c r="O9" i="29"/>
  <c r="P9" i="29"/>
  <c r="R9" i="29" s="1"/>
  <c r="Q9" i="29"/>
  <c r="D10" i="29"/>
  <c r="E10" i="29"/>
  <c r="F10" i="29"/>
  <c r="G10" i="29"/>
  <c r="H10" i="29"/>
  <c r="J10" i="29" s="1"/>
  <c r="Q10" i="29"/>
  <c r="L10" i="29"/>
  <c r="M10" i="29"/>
  <c r="N10" i="29"/>
  <c r="O10" i="29"/>
  <c r="P10" i="29"/>
  <c r="R10" i="29" s="1"/>
  <c r="D11" i="29"/>
  <c r="E11" i="29"/>
  <c r="F11" i="29"/>
  <c r="G11" i="29"/>
  <c r="H11" i="29"/>
  <c r="J11" i="29" s="1"/>
  <c r="L11" i="29"/>
  <c r="M11" i="29"/>
  <c r="N11" i="29"/>
  <c r="O11" i="29"/>
  <c r="P11" i="29"/>
  <c r="R11" i="29"/>
  <c r="Q11" i="29"/>
  <c r="D12" i="29"/>
  <c r="E12" i="29"/>
  <c r="F12" i="29"/>
  <c r="G12" i="29"/>
  <c r="H12" i="29"/>
  <c r="J12" i="29" s="1"/>
  <c r="L12" i="29"/>
  <c r="M12" i="29"/>
  <c r="N12" i="29"/>
  <c r="O12" i="29"/>
  <c r="P12" i="29"/>
  <c r="R12" i="29" s="1"/>
  <c r="Q12" i="29"/>
  <c r="D13" i="29"/>
  <c r="E13" i="29"/>
  <c r="F13" i="29"/>
  <c r="G13" i="29"/>
  <c r="H13" i="29"/>
  <c r="J13" i="29" s="1"/>
  <c r="L13" i="29"/>
  <c r="M13" i="29"/>
  <c r="N13" i="29"/>
  <c r="O13" i="29"/>
  <c r="P13" i="29"/>
  <c r="Q13" i="29"/>
  <c r="D14" i="29"/>
  <c r="E14" i="29"/>
  <c r="F14" i="29"/>
  <c r="G14" i="29"/>
  <c r="H14" i="29"/>
  <c r="J14" i="29" s="1"/>
  <c r="L14" i="29"/>
  <c r="M14" i="29"/>
  <c r="N14" i="29"/>
  <c r="O14" i="29"/>
  <c r="P14" i="29"/>
  <c r="R14" i="29" s="1"/>
  <c r="Q14" i="29"/>
  <c r="D15" i="29"/>
  <c r="E15" i="29"/>
  <c r="F15" i="29"/>
  <c r="G15" i="29"/>
  <c r="H15" i="29"/>
  <c r="J15" i="29" s="1"/>
  <c r="L15" i="29"/>
  <c r="M15" i="29"/>
  <c r="N15" i="29"/>
  <c r="O15" i="29"/>
  <c r="P15" i="29"/>
  <c r="Q15" i="29"/>
  <c r="D16" i="29"/>
  <c r="E16" i="29"/>
  <c r="F16" i="29"/>
  <c r="G16" i="29"/>
  <c r="H16" i="29"/>
  <c r="J16" i="29" s="1"/>
  <c r="L16" i="29"/>
  <c r="M16" i="29"/>
  <c r="N16" i="29"/>
  <c r="O16" i="29"/>
  <c r="P16" i="29"/>
  <c r="R16" i="29" s="1"/>
  <c r="Q16" i="29"/>
  <c r="T16" i="29" s="1"/>
  <c r="D17" i="29"/>
  <c r="E17" i="29"/>
  <c r="F17" i="29"/>
  <c r="G17" i="29"/>
  <c r="H17" i="29"/>
  <c r="J17" i="29" s="1"/>
  <c r="L17" i="29"/>
  <c r="M17" i="29"/>
  <c r="N17" i="29"/>
  <c r="O17" i="29"/>
  <c r="P17" i="29"/>
  <c r="R17" i="29"/>
  <c r="Q17" i="29"/>
  <c r="T17" i="29" s="1"/>
  <c r="D18" i="29"/>
  <c r="E18" i="29"/>
  <c r="F18" i="29"/>
  <c r="G18" i="29"/>
  <c r="H18" i="29"/>
  <c r="J18" i="29" s="1"/>
  <c r="L18" i="29"/>
  <c r="M18" i="29"/>
  <c r="N18" i="29"/>
  <c r="O18" i="29"/>
  <c r="P18" i="29"/>
  <c r="Q18" i="29"/>
  <c r="T18" i="29" s="1"/>
  <c r="D19" i="29"/>
  <c r="E19" i="29"/>
  <c r="F19" i="29"/>
  <c r="G19" i="29"/>
  <c r="H19" i="29"/>
  <c r="J19" i="29" s="1"/>
  <c r="I19" i="29"/>
  <c r="L19" i="29"/>
  <c r="M19" i="29"/>
  <c r="N19" i="29"/>
  <c r="O19" i="29"/>
  <c r="P19" i="29"/>
  <c r="R19" i="29" s="1"/>
  <c r="Q19" i="29"/>
  <c r="D20" i="29"/>
  <c r="E20" i="29"/>
  <c r="F20" i="29"/>
  <c r="G20" i="29"/>
  <c r="H20" i="29"/>
  <c r="J20" i="29" s="1"/>
  <c r="I20" i="29"/>
  <c r="I21" i="29"/>
  <c r="I22" i="29"/>
  <c r="I23" i="29"/>
  <c r="I24" i="29"/>
  <c r="I25" i="29"/>
  <c r="I26" i="29"/>
  <c r="I27" i="29"/>
  <c r="I28" i="29"/>
  <c r="I29" i="29"/>
  <c r="I30" i="29"/>
  <c r="I31" i="29"/>
  <c r="I32" i="29"/>
  <c r="I33" i="29"/>
  <c r="I34" i="29"/>
  <c r="L20" i="29"/>
  <c r="M20" i="29"/>
  <c r="N20" i="29"/>
  <c r="O20" i="29"/>
  <c r="P20" i="29"/>
  <c r="R20" i="29" s="1"/>
  <c r="Q20" i="29"/>
  <c r="D21" i="29"/>
  <c r="E21" i="29"/>
  <c r="F21" i="29"/>
  <c r="G21" i="29"/>
  <c r="H21" i="29"/>
  <c r="J21" i="29" s="1"/>
  <c r="L21" i="29"/>
  <c r="M21" i="29"/>
  <c r="N21" i="29"/>
  <c r="O21" i="29"/>
  <c r="P21" i="29"/>
  <c r="Q21" i="29"/>
  <c r="D22" i="29"/>
  <c r="E22" i="29"/>
  <c r="F22" i="29"/>
  <c r="G22" i="29"/>
  <c r="H22" i="29"/>
  <c r="J22" i="29" s="1"/>
  <c r="L22" i="29"/>
  <c r="M22" i="29"/>
  <c r="N22" i="29"/>
  <c r="O22" i="29"/>
  <c r="P22" i="29"/>
  <c r="Q22" i="29"/>
  <c r="D23" i="29"/>
  <c r="E23" i="29"/>
  <c r="F23" i="29"/>
  <c r="G23" i="29"/>
  <c r="H23" i="29"/>
  <c r="J23" i="29" s="1"/>
  <c r="L23" i="29"/>
  <c r="M23" i="29"/>
  <c r="N23" i="29"/>
  <c r="O23" i="29"/>
  <c r="P23" i="29"/>
  <c r="Q23" i="29"/>
  <c r="T23" i="29" s="1"/>
  <c r="N10" i="30" s="1"/>
  <c r="D24" i="29"/>
  <c r="E24" i="29"/>
  <c r="F24" i="29"/>
  <c r="G24" i="29"/>
  <c r="H24" i="29"/>
  <c r="J24" i="29" s="1"/>
  <c r="Q24" i="29"/>
  <c r="L24" i="29"/>
  <c r="M24" i="29"/>
  <c r="N24" i="29"/>
  <c r="O24" i="29"/>
  <c r="P24" i="29"/>
  <c r="R24" i="29" s="1"/>
  <c r="D25" i="29"/>
  <c r="E25" i="29"/>
  <c r="F25" i="29"/>
  <c r="G25" i="29"/>
  <c r="H25" i="29"/>
  <c r="J25" i="29" s="1"/>
  <c r="L25" i="29"/>
  <c r="M25" i="29"/>
  <c r="N25" i="29"/>
  <c r="O25" i="29"/>
  <c r="P25" i="29"/>
  <c r="Q25" i="29"/>
  <c r="D26" i="29"/>
  <c r="E26" i="29"/>
  <c r="F26" i="29"/>
  <c r="G26" i="29"/>
  <c r="H26" i="29"/>
  <c r="J26" i="29" s="1"/>
  <c r="P26" i="29"/>
  <c r="L26" i="29"/>
  <c r="M26" i="29"/>
  <c r="N26" i="29"/>
  <c r="O26" i="29"/>
  <c r="Q26" i="29"/>
  <c r="D27" i="29"/>
  <c r="E27" i="29"/>
  <c r="F27" i="29"/>
  <c r="G27" i="29"/>
  <c r="H27" i="29"/>
  <c r="J27" i="29" s="1"/>
  <c r="L27" i="29"/>
  <c r="M27" i="29"/>
  <c r="N27" i="29"/>
  <c r="O27" i="29"/>
  <c r="P27" i="29"/>
  <c r="R27" i="29" s="1"/>
  <c r="Q27" i="29"/>
  <c r="D28" i="29"/>
  <c r="E28" i="29"/>
  <c r="F28" i="29"/>
  <c r="G28" i="29"/>
  <c r="H28" i="29"/>
  <c r="J28" i="29" s="1"/>
  <c r="L28" i="29"/>
  <c r="M28" i="29"/>
  <c r="N28" i="29"/>
  <c r="O28" i="29"/>
  <c r="P28" i="29"/>
  <c r="R28" i="29" s="1"/>
  <c r="Q28" i="29"/>
  <c r="D29" i="29"/>
  <c r="E29" i="29"/>
  <c r="F29" i="29"/>
  <c r="G29" i="29"/>
  <c r="H29" i="29"/>
  <c r="J29" i="29" s="1"/>
  <c r="L29" i="29"/>
  <c r="M29" i="29"/>
  <c r="N29" i="29"/>
  <c r="O29" i="29"/>
  <c r="P29" i="29"/>
  <c r="Q29" i="29"/>
  <c r="D30" i="29"/>
  <c r="E30" i="29"/>
  <c r="F30" i="29"/>
  <c r="G30" i="29"/>
  <c r="H30" i="29"/>
  <c r="J30" i="29" s="1"/>
  <c r="L30" i="29"/>
  <c r="M30" i="29"/>
  <c r="N30" i="29"/>
  <c r="O30" i="29"/>
  <c r="P30" i="29"/>
  <c r="R30" i="29" s="1"/>
  <c r="Q30" i="29"/>
  <c r="D31" i="29"/>
  <c r="E31" i="29"/>
  <c r="F31" i="29"/>
  <c r="G31" i="29"/>
  <c r="H31" i="29"/>
  <c r="L31" i="29"/>
  <c r="M31" i="29"/>
  <c r="N31" i="29"/>
  <c r="O31" i="29"/>
  <c r="P31" i="29"/>
  <c r="R31" i="29" s="1"/>
  <c r="Q31" i="29"/>
  <c r="T31" i="29" s="1"/>
  <c r="N12" i="30" s="1"/>
  <c r="D32" i="29"/>
  <c r="E32" i="29"/>
  <c r="F32" i="29"/>
  <c r="G32" i="29"/>
  <c r="H32" i="29"/>
  <c r="J32" i="29" s="1"/>
  <c r="Q32" i="29"/>
  <c r="T32" i="29"/>
  <c r="L32" i="29"/>
  <c r="M32" i="29"/>
  <c r="N32" i="29"/>
  <c r="O32" i="29"/>
  <c r="P32" i="29"/>
  <c r="R32" i="29" s="1"/>
  <c r="D33" i="29"/>
  <c r="E33" i="29"/>
  <c r="F33" i="29"/>
  <c r="G33" i="29"/>
  <c r="H33" i="29"/>
  <c r="J33" i="29" s="1"/>
  <c r="L33" i="29"/>
  <c r="M33" i="29"/>
  <c r="N33" i="29"/>
  <c r="O33" i="29"/>
  <c r="P33" i="29"/>
  <c r="R33" i="29" s="1"/>
  <c r="Q33" i="29"/>
  <c r="D34" i="29"/>
  <c r="E34" i="29"/>
  <c r="F34" i="29"/>
  <c r="G34" i="29"/>
  <c r="H34" i="29"/>
  <c r="J34" i="29" s="1"/>
  <c r="L34" i="29"/>
  <c r="M34" i="29"/>
  <c r="N34" i="29"/>
  <c r="O34" i="29"/>
  <c r="P34" i="29"/>
  <c r="R34" i="29" s="1"/>
  <c r="Q34" i="29"/>
  <c r="T34" i="29" s="1"/>
  <c r="D35" i="29"/>
  <c r="E35" i="29"/>
  <c r="F35" i="29"/>
  <c r="G35" i="29"/>
  <c r="H35" i="29"/>
  <c r="J35" i="29" s="1"/>
  <c r="I35" i="29"/>
  <c r="L35" i="29"/>
  <c r="M35" i="29"/>
  <c r="N35" i="29"/>
  <c r="O35" i="29"/>
  <c r="P35" i="29"/>
  <c r="R35" i="29"/>
  <c r="Q35" i="29"/>
  <c r="D36" i="29"/>
  <c r="E36" i="29"/>
  <c r="F36" i="29"/>
  <c r="G36" i="29"/>
  <c r="H36" i="29"/>
  <c r="J36" i="29" s="1"/>
  <c r="I36" i="29"/>
  <c r="I37" i="29"/>
  <c r="I38" i="29"/>
  <c r="I39" i="29"/>
  <c r="I40" i="29"/>
  <c r="I41" i="29"/>
  <c r="I42" i="29"/>
  <c r="I43" i="29"/>
  <c r="I44" i="29"/>
  <c r="I45" i="29"/>
  <c r="I46" i="29"/>
  <c r="I47" i="29"/>
  <c r="I48" i="29"/>
  <c r="I49" i="29"/>
  <c r="I50" i="29"/>
  <c r="L36" i="29"/>
  <c r="M36" i="29"/>
  <c r="N36" i="29"/>
  <c r="O36" i="29"/>
  <c r="P36" i="29"/>
  <c r="Q36" i="29"/>
  <c r="D37" i="29"/>
  <c r="E37" i="29"/>
  <c r="F37" i="29"/>
  <c r="G37" i="29"/>
  <c r="H37" i="29"/>
  <c r="J37" i="29" s="1"/>
  <c r="Q37" i="29"/>
  <c r="L37" i="29"/>
  <c r="M37" i="29"/>
  <c r="N37" i="29"/>
  <c r="O37" i="29"/>
  <c r="P37" i="29"/>
  <c r="R37" i="29" s="1"/>
  <c r="D38" i="29"/>
  <c r="E38" i="29"/>
  <c r="F38" i="29"/>
  <c r="G38" i="29"/>
  <c r="H38" i="29"/>
  <c r="J38" i="29" s="1"/>
  <c r="L38" i="29"/>
  <c r="M38" i="29"/>
  <c r="N38" i="29"/>
  <c r="O38" i="29"/>
  <c r="P38" i="29"/>
  <c r="R38" i="29"/>
  <c r="Q38" i="29"/>
  <c r="T38" i="29" s="1"/>
  <c r="D39" i="29"/>
  <c r="E39" i="29"/>
  <c r="F39" i="29"/>
  <c r="G39" i="29"/>
  <c r="H39" i="29"/>
  <c r="J39" i="29" s="1"/>
  <c r="L39" i="29"/>
  <c r="M39" i="29"/>
  <c r="N39" i="29"/>
  <c r="O39" i="29"/>
  <c r="P39" i="29"/>
  <c r="R39" i="29"/>
  <c r="Q39" i="29"/>
  <c r="D40" i="29"/>
  <c r="E40" i="29"/>
  <c r="F40" i="29"/>
  <c r="G40" i="29"/>
  <c r="H40" i="29"/>
  <c r="J40" i="29"/>
  <c r="L40" i="29"/>
  <c r="M40" i="29"/>
  <c r="N40" i="29"/>
  <c r="O40" i="29"/>
  <c r="P40" i="29"/>
  <c r="Q40" i="29"/>
  <c r="D41" i="29"/>
  <c r="E41" i="29"/>
  <c r="F41" i="29"/>
  <c r="G41" i="29"/>
  <c r="H41" i="29"/>
  <c r="J41" i="29"/>
  <c r="Q41" i="29"/>
  <c r="L41" i="29"/>
  <c r="M41" i="29"/>
  <c r="N41" i="29"/>
  <c r="O41" i="29"/>
  <c r="P41" i="29"/>
  <c r="D42" i="29"/>
  <c r="E42" i="29"/>
  <c r="F42" i="29"/>
  <c r="G42" i="29"/>
  <c r="H42" i="29"/>
  <c r="L42" i="29"/>
  <c r="M42" i="29"/>
  <c r="N42" i="29"/>
  <c r="O42" i="29"/>
  <c r="P42" i="29"/>
  <c r="R42" i="29" s="1"/>
  <c r="Q42" i="29"/>
  <c r="D43" i="29"/>
  <c r="E43" i="29"/>
  <c r="F43" i="29"/>
  <c r="G43" i="29"/>
  <c r="H43" i="29"/>
  <c r="J43" i="29" s="1"/>
  <c r="Q43" i="29"/>
  <c r="L43" i="29"/>
  <c r="M43" i="29"/>
  <c r="N43" i="29"/>
  <c r="O43" i="29"/>
  <c r="P43" i="29"/>
  <c r="D44" i="29"/>
  <c r="E44" i="29"/>
  <c r="F44" i="29"/>
  <c r="G44" i="29"/>
  <c r="H44" i="29"/>
  <c r="J44" i="29" s="1"/>
  <c r="L44" i="29"/>
  <c r="M44" i="29"/>
  <c r="N44" i="29"/>
  <c r="O44" i="29"/>
  <c r="P44" i="29"/>
  <c r="Q44" i="29"/>
  <c r="D45" i="29"/>
  <c r="E45" i="29"/>
  <c r="F45" i="29"/>
  <c r="G45" i="29"/>
  <c r="H45" i="29"/>
  <c r="J45" i="29" s="1"/>
  <c r="P45" i="29"/>
  <c r="R45" i="29" s="1"/>
  <c r="L45" i="29"/>
  <c r="M45" i="29"/>
  <c r="N45" i="29"/>
  <c r="O45" i="29"/>
  <c r="Q45" i="29"/>
  <c r="D46" i="29"/>
  <c r="E46" i="29"/>
  <c r="F46" i="29"/>
  <c r="G46" i="29"/>
  <c r="H46" i="29"/>
  <c r="J46" i="29" s="1"/>
  <c r="L46" i="29"/>
  <c r="M46" i="29"/>
  <c r="N46" i="29"/>
  <c r="O46" i="29"/>
  <c r="P46" i="29"/>
  <c r="Q46" i="29"/>
  <c r="D47" i="29"/>
  <c r="E47" i="29"/>
  <c r="F47" i="29"/>
  <c r="G47" i="29"/>
  <c r="H47" i="29"/>
  <c r="J47" i="29" s="1"/>
  <c r="L47" i="29"/>
  <c r="M47" i="29"/>
  <c r="N47" i="29"/>
  <c r="O47" i="29"/>
  <c r="P47" i="29"/>
  <c r="Q47" i="29"/>
  <c r="D48" i="29"/>
  <c r="E48" i="29"/>
  <c r="F48" i="29"/>
  <c r="G48" i="29"/>
  <c r="H48" i="29"/>
  <c r="S48" i="29" s="1"/>
  <c r="P48" i="29"/>
  <c r="R48" i="29" s="1"/>
  <c r="L48" i="29"/>
  <c r="M48" i="29"/>
  <c r="N48" i="29"/>
  <c r="O48" i="29"/>
  <c r="Q48" i="29"/>
  <c r="T48" i="29" s="1"/>
  <c r="D49" i="29"/>
  <c r="E49" i="29"/>
  <c r="F49" i="29"/>
  <c r="G49" i="29"/>
  <c r="H49" i="29"/>
  <c r="J49" i="29" s="1"/>
  <c r="L49" i="29"/>
  <c r="M49" i="29"/>
  <c r="N49" i="29"/>
  <c r="O49" i="29"/>
  <c r="P49" i="29"/>
  <c r="R49" i="29" s="1"/>
  <c r="Q49" i="29"/>
  <c r="D50" i="29"/>
  <c r="E50" i="29"/>
  <c r="F50" i="29"/>
  <c r="G50" i="29"/>
  <c r="H50" i="29"/>
  <c r="J50" i="29" s="1"/>
  <c r="L50" i="29"/>
  <c r="M50" i="29"/>
  <c r="N50" i="29"/>
  <c r="O50" i="29"/>
  <c r="P50" i="29"/>
  <c r="R50" i="29" s="1"/>
  <c r="Q50" i="29"/>
  <c r="T50" i="29" s="1"/>
  <c r="D51" i="29"/>
  <c r="E51" i="29"/>
  <c r="F51" i="29"/>
  <c r="G51" i="29"/>
  <c r="H51" i="29"/>
  <c r="J51" i="29" s="1"/>
  <c r="I51" i="29"/>
  <c r="L51" i="29"/>
  <c r="M51" i="29"/>
  <c r="N51" i="29"/>
  <c r="O51" i="29"/>
  <c r="P51" i="29"/>
  <c r="R51" i="29" s="1"/>
  <c r="Q51" i="29"/>
  <c r="D52" i="29"/>
  <c r="E52" i="29"/>
  <c r="F52" i="29"/>
  <c r="G52" i="29"/>
  <c r="H52" i="29"/>
  <c r="J52" i="29" s="1"/>
  <c r="I52" i="29"/>
  <c r="L52" i="29"/>
  <c r="M52" i="29"/>
  <c r="N52" i="29"/>
  <c r="O52" i="29"/>
  <c r="P52" i="29"/>
  <c r="R52" i="29" s="1"/>
  <c r="Q52" i="29"/>
  <c r="D53" i="29"/>
  <c r="E53" i="29"/>
  <c r="F53" i="29"/>
  <c r="G53" i="29"/>
  <c r="H53" i="29"/>
  <c r="J53" i="29" s="1"/>
  <c r="I53" i="29"/>
  <c r="L53" i="29"/>
  <c r="M53" i="29"/>
  <c r="N53" i="29"/>
  <c r="O53" i="29"/>
  <c r="P53" i="29"/>
  <c r="Q53" i="29"/>
  <c r="D54" i="29"/>
  <c r="E54" i="29"/>
  <c r="F54" i="29"/>
  <c r="G54" i="29"/>
  <c r="H54" i="29"/>
  <c r="J54" i="29" s="1"/>
  <c r="I54" i="29"/>
  <c r="T54" i="29" s="1"/>
  <c r="L54" i="29"/>
  <c r="M54" i="29"/>
  <c r="N54" i="29"/>
  <c r="O54" i="29"/>
  <c r="P54" i="29"/>
  <c r="S54" i="29" s="1"/>
  <c r="Q54" i="29"/>
  <c r="D55" i="29"/>
  <c r="E55" i="29"/>
  <c r="F55" i="29"/>
  <c r="G55" i="29"/>
  <c r="H55" i="29"/>
  <c r="J55" i="29" s="1"/>
  <c r="I55" i="29"/>
  <c r="I78" i="29" s="1"/>
  <c r="L55" i="29"/>
  <c r="M55" i="29"/>
  <c r="N55" i="29"/>
  <c r="O55" i="29"/>
  <c r="P55" i="29"/>
  <c r="S55" i="29" s="1"/>
  <c r="M18" i="30" s="1"/>
  <c r="Q55" i="29"/>
  <c r="D56" i="29"/>
  <c r="E56" i="29"/>
  <c r="F56" i="29"/>
  <c r="G56" i="29"/>
  <c r="H56" i="29"/>
  <c r="J56" i="29" s="1"/>
  <c r="I56" i="29"/>
  <c r="L56" i="29"/>
  <c r="M56" i="29"/>
  <c r="N56" i="29"/>
  <c r="O56" i="29"/>
  <c r="P56" i="29"/>
  <c r="R56" i="29" s="1"/>
  <c r="Q56" i="29"/>
  <c r="D57" i="29"/>
  <c r="E57" i="29"/>
  <c r="F57" i="29"/>
  <c r="G57" i="29"/>
  <c r="H57" i="29"/>
  <c r="J57" i="29"/>
  <c r="I57" i="29"/>
  <c r="L57" i="29"/>
  <c r="M57" i="29"/>
  <c r="N57" i="29"/>
  <c r="O57" i="29"/>
  <c r="P57" i="29"/>
  <c r="R57" i="29" s="1"/>
  <c r="Q57" i="29"/>
  <c r="D58" i="29"/>
  <c r="E58" i="29"/>
  <c r="F58" i="29"/>
  <c r="G58" i="29"/>
  <c r="H58" i="29"/>
  <c r="J58" i="29" s="1"/>
  <c r="I58" i="29"/>
  <c r="L58" i="29"/>
  <c r="M58" i="29"/>
  <c r="N58" i="29"/>
  <c r="O58" i="29"/>
  <c r="P58" i="29"/>
  <c r="R58" i="29" s="1"/>
  <c r="Q58" i="29"/>
  <c r="Q3" i="29"/>
  <c r="T3" i="29" s="1"/>
  <c r="P3" i="29"/>
  <c r="R3" i="29" s="1"/>
  <c r="O3" i="29"/>
  <c r="N3" i="29"/>
  <c r="M3" i="29"/>
  <c r="L3" i="29"/>
  <c r="H3" i="29"/>
  <c r="G3" i="29"/>
  <c r="F3" i="29"/>
  <c r="E3" i="29"/>
  <c r="D3" i="29"/>
  <c r="Q74" i="25"/>
  <c r="I74" i="25"/>
  <c r="P74" i="25"/>
  <c r="R74" i="25"/>
  <c r="O74" i="25"/>
  <c r="N74" i="25"/>
  <c r="M74" i="25"/>
  <c r="L74" i="25"/>
  <c r="H74" i="25"/>
  <c r="J74" i="25" s="1"/>
  <c r="G74" i="25"/>
  <c r="F74" i="25"/>
  <c r="E74" i="25"/>
  <c r="D74" i="25"/>
  <c r="Q73" i="25"/>
  <c r="I73" i="25"/>
  <c r="P73" i="25"/>
  <c r="O73" i="25"/>
  <c r="N73" i="25"/>
  <c r="M73" i="25"/>
  <c r="L73" i="25"/>
  <c r="H73" i="25"/>
  <c r="J73" i="25" s="1"/>
  <c r="G73" i="25"/>
  <c r="F73" i="25"/>
  <c r="E73" i="25"/>
  <c r="D73" i="25"/>
  <c r="Q72" i="25"/>
  <c r="P72" i="25"/>
  <c r="R72" i="25" s="1"/>
  <c r="O72" i="25"/>
  <c r="N72" i="25"/>
  <c r="M72" i="25"/>
  <c r="L72" i="25"/>
  <c r="I72" i="25"/>
  <c r="H72" i="25"/>
  <c r="J72" i="25" s="1"/>
  <c r="G72" i="25"/>
  <c r="F72" i="25"/>
  <c r="E72" i="25"/>
  <c r="D72" i="25"/>
  <c r="Q71" i="25"/>
  <c r="I71" i="25"/>
  <c r="P71" i="25"/>
  <c r="R71" i="25" s="1"/>
  <c r="O71" i="25"/>
  <c r="N71" i="25"/>
  <c r="M71" i="25"/>
  <c r="L71" i="25"/>
  <c r="H71" i="25"/>
  <c r="J71" i="25" s="1"/>
  <c r="G71" i="25"/>
  <c r="F71" i="25"/>
  <c r="E71" i="25"/>
  <c r="D71" i="25"/>
  <c r="Q70" i="25"/>
  <c r="I70" i="25"/>
  <c r="P70" i="25"/>
  <c r="R70" i="25" s="1"/>
  <c r="O70" i="25"/>
  <c r="N70" i="25"/>
  <c r="M70" i="25"/>
  <c r="L70" i="25"/>
  <c r="H70" i="25"/>
  <c r="J70" i="25" s="1"/>
  <c r="G70" i="25"/>
  <c r="F70" i="25"/>
  <c r="E70" i="25"/>
  <c r="D70" i="25"/>
  <c r="Q69" i="25"/>
  <c r="I69" i="25"/>
  <c r="P69" i="25"/>
  <c r="R69" i="25" s="1"/>
  <c r="O69" i="25"/>
  <c r="N69" i="25"/>
  <c r="M69" i="25"/>
  <c r="L69" i="25"/>
  <c r="H69" i="25"/>
  <c r="J69" i="25" s="1"/>
  <c r="G69" i="25"/>
  <c r="F69" i="25"/>
  <c r="E69" i="25"/>
  <c r="D69" i="25"/>
  <c r="Q68" i="25"/>
  <c r="I68" i="25"/>
  <c r="P68" i="25"/>
  <c r="O68" i="25"/>
  <c r="N68" i="25"/>
  <c r="M68" i="25"/>
  <c r="L68" i="25"/>
  <c r="H68" i="25"/>
  <c r="J68" i="25" s="1"/>
  <c r="G68" i="25"/>
  <c r="F68" i="25"/>
  <c r="E68" i="25"/>
  <c r="D68" i="25"/>
  <c r="Q67" i="25"/>
  <c r="P67" i="25"/>
  <c r="O67" i="25"/>
  <c r="N67" i="25"/>
  <c r="M67" i="25"/>
  <c r="L67" i="25"/>
  <c r="I67" i="25"/>
  <c r="H67" i="25"/>
  <c r="J67" i="25" s="1"/>
  <c r="G67" i="25"/>
  <c r="F67" i="25"/>
  <c r="E67" i="25"/>
  <c r="D67" i="25"/>
  <c r="Q66" i="25"/>
  <c r="I66" i="25"/>
  <c r="P66" i="25"/>
  <c r="R66" i="25" s="1"/>
  <c r="O66" i="25"/>
  <c r="N66" i="25"/>
  <c r="M66" i="25"/>
  <c r="L66" i="25"/>
  <c r="H66" i="25"/>
  <c r="J66" i="25" s="1"/>
  <c r="G66" i="25"/>
  <c r="F66" i="25"/>
  <c r="E66" i="25"/>
  <c r="D66" i="25"/>
  <c r="Q65" i="25"/>
  <c r="P65" i="25"/>
  <c r="O65" i="25"/>
  <c r="N65" i="25"/>
  <c r="M65" i="25"/>
  <c r="L65" i="25"/>
  <c r="I65" i="25"/>
  <c r="H65" i="25"/>
  <c r="J65" i="25"/>
  <c r="G65" i="25"/>
  <c r="F65" i="25"/>
  <c r="E65" i="25"/>
  <c r="D65" i="25"/>
  <c r="Q64" i="25"/>
  <c r="I64" i="25"/>
  <c r="P64" i="25"/>
  <c r="O64" i="25"/>
  <c r="N64" i="25"/>
  <c r="M64" i="25"/>
  <c r="L64" i="25"/>
  <c r="H64" i="25"/>
  <c r="J64" i="25" s="1"/>
  <c r="G64" i="25"/>
  <c r="F64" i="25"/>
  <c r="E64" i="25"/>
  <c r="D64" i="25"/>
  <c r="Q63" i="25"/>
  <c r="I63" i="25"/>
  <c r="P63" i="25"/>
  <c r="R63" i="25" s="1"/>
  <c r="O63" i="25"/>
  <c r="N63" i="25"/>
  <c r="M63" i="25"/>
  <c r="L63" i="25"/>
  <c r="H63" i="25"/>
  <c r="J63" i="25" s="1"/>
  <c r="G63" i="25"/>
  <c r="F63" i="25"/>
  <c r="E63" i="25"/>
  <c r="D63" i="25"/>
  <c r="Q62" i="25"/>
  <c r="I62" i="25"/>
  <c r="P62" i="25"/>
  <c r="R62" i="25"/>
  <c r="O62" i="25"/>
  <c r="N62" i="25"/>
  <c r="M62" i="25"/>
  <c r="L62" i="25"/>
  <c r="H62" i="25"/>
  <c r="J62" i="25" s="1"/>
  <c r="G62" i="25"/>
  <c r="F62" i="25"/>
  <c r="E62" i="25"/>
  <c r="D62" i="25"/>
  <c r="Q61" i="25"/>
  <c r="I61" i="25"/>
  <c r="P61" i="25"/>
  <c r="R61" i="25" s="1"/>
  <c r="O61" i="25"/>
  <c r="N61" i="25"/>
  <c r="M61" i="25"/>
  <c r="L61" i="25"/>
  <c r="H61" i="25"/>
  <c r="J61" i="25" s="1"/>
  <c r="G61" i="25"/>
  <c r="F61" i="25"/>
  <c r="E61" i="25"/>
  <c r="D61" i="25"/>
  <c r="Q60" i="25"/>
  <c r="P60" i="25"/>
  <c r="O60" i="25"/>
  <c r="N60" i="25"/>
  <c r="M60" i="25"/>
  <c r="L60" i="25"/>
  <c r="I60" i="25"/>
  <c r="I59" i="25"/>
  <c r="H60" i="25"/>
  <c r="J60" i="25" s="1"/>
  <c r="G60" i="25"/>
  <c r="F60" i="25"/>
  <c r="E60" i="25"/>
  <c r="D60" i="25"/>
  <c r="Q59" i="25"/>
  <c r="P59" i="25"/>
  <c r="O59" i="25"/>
  <c r="N59" i="25"/>
  <c r="M59" i="25"/>
  <c r="L59" i="25"/>
  <c r="H59" i="25"/>
  <c r="G59" i="25"/>
  <c r="F59" i="25"/>
  <c r="E59" i="25"/>
  <c r="D59" i="25"/>
  <c r="L4" i="25"/>
  <c r="M4" i="25"/>
  <c r="N4" i="25"/>
  <c r="O4" i="25"/>
  <c r="P4" i="25"/>
  <c r="Q4" i="25"/>
  <c r="I4" i="25"/>
  <c r="L5" i="25"/>
  <c r="M5" i="25"/>
  <c r="N5" i="25"/>
  <c r="O5" i="25"/>
  <c r="P5" i="25"/>
  <c r="Q5" i="25"/>
  <c r="L6" i="25"/>
  <c r="M6" i="25"/>
  <c r="N6" i="25"/>
  <c r="O6" i="25"/>
  <c r="P6" i="25"/>
  <c r="R6" i="25" s="1"/>
  <c r="Q6" i="25"/>
  <c r="L7" i="25"/>
  <c r="M7" i="25"/>
  <c r="N7" i="25"/>
  <c r="O7" i="25"/>
  <c r="P7" i="25"/>
  <c r="H7" i="25"/>
  <c r="J7" i="25" s="1"/>
  <c r="Q7" i="25"/>
  <c r="L8" i="25"/>
  <c r="M8" i="25"/>
  <c r="N8" i="25"/>
  <c r="O8" i="25"/>
  <c r="P8" i="25"/>
  <c r="H8" i="25"/>
  <c r="Q8" i="25"/>
  <c r="L9" i="25"/>
  <c r="M9" i="25"/>
  <c r="N9" i="25"/>
  <c r="O9" i="25"/>
  <c r="P9" i="25"/>
  <c r="R9" i="25" s="1"/>
  <c r="Q9" i="25"/>
  <c r="I9" i="25"/>
  <c r="T9" i="25" s="1"/>
  <c r="L10" i="25"/>
  <c r="M10" i="25"/>
  <c r="N10" i="25"/>
  <c r="O10" i="25"/>
  <c r="P10" i="25"/>
  <c r="R10" i="25" s="1"/>
  <c r="Q10" i="25"/>
  <c r="I10" i="25"/>
  <c r="L11" i="25"/>
  <c r="M11" i="25"/>
  <c r="N11" i="25"/>
  <c r="O11" i="25"/>
  <c r="P11" i="25"/>
  <c r="R11" i="25" s="1"/>
  <c r="Q11" i="25"/>
  <c r="I11" i="25"/>
  <c r="L12" i="25"/>
  <c r="M12" i="25"/>
  <c r="N12" i="25"/>
  <c r="O12" i="25"/>
  <c r="P12" i="25"/>
  <c r="R12" i="25" s="1"/>
  <c r="Q12" i="25"/>
  <c r="L13" i="25"/>
  <c r="M13" i="25"/>
  <c r="N13" i="25"/>
  <c r="O13" i="25"/>
  <c r="P13" i="25"/>
  <c r="R13" i="25" s="1"/>
  <c r="Q13" i="25"/>
  <c r="I13" i="25"/>
  <c r="L14" i="25"/>
  <c r="M14" i="25"/>
  <c r="N14" i="25"/>
  <c r="O14" i="25"/>
  <c r="P14" i="25"/>
  <c r="R14" i="25" s="1"/>
  <c r="Q14" i="25"/>
  <c r="I14" i="25"/>
  <c r="L15" i="25"/>
  <c r="M15" i="25"/>
  <c r="N15" i="25"/>
  <c r="O15" i="25"/>
  <c r="P15" i="25"/>
  <c r="Q15" i="25"/>
  <c r="T15" i="25" s="1"/>
  <c r="I15" i="25"/>
  <c r="L16" i="25"/>
  <c r="M16" i="25"/>
  <c r="N16" i="25"/>
  <c r="O16" i="25"/>
  <c r="P16" i="25"/>
  <c r="R16" i="25" s="1"/>
  <c r="Q16" i="25"/>
  <c r="I16" i="25"/>
  <c r="L17" i="25"/>
  <c r="M17" i="25"/>
  <c r="N17" i="25"/>
  <c r="O17" i="25"/>
  <c r="P17" i="25"/>
  <c r="R17" i="25" s="1"/>
  <c r="Q17" i="25"/>
  <c r="I17" i="25"/>
  <c r="L18" i="25"/>
  <c r="M18" i="25"/>
  <c r="N18" i="25"/>
  <c r="O18" i="25"/>
  <c r="P18" i="25"/>
  <c r="Q18" i="25"/>
  <c r="L19" i="25"/>
  <c r="M19" i="25"/>
  <c r="N19" i="25"/>
  <c r="O19" i="25"/>
  <c r="P19" i="25"/>
  <c r="R19" i="25" s="1"/>
  <c r="H19" i="25"/>
  <c r="J19" i="25" s="1"/>
  <c r="Q19" i="25"/>
  <c r="L20" i="25"/>
  <c r="M20" i="25"/>
  <c r="N20" i="25"/>
  <c r="O20" i="25"/>
  <c r="P20" i="25"/>
  <c r="R20" i="25" s="1"/>
  <c r="Q20" i="25"/>
  <c r="T20" i="25" s="1"/>
  <c r="I20" i="25"/>
  <c r="L21" i="25"/>
  <c r="M21" i="25"/>
  <c r="N21" i="25"/>
  <c r="O21" i="25"/>
  <c r="P21" i="25"/>
  <c r="H21" i="25"/>
  <c r="J21" i="25" s="1"/>
  <c r="Q21" i="25"/>
  <c r="I21" i="25"/>
  <c r="L22" i="25"/>
  <c r="M22" i="25"/>
  <c r="N22" i="25"/>
  <c r="O22" i="25"/>
  <c r="P22" i="25"/>
  <c r="R22" i="25" s="1"/>
  <c r="Q22" i="25"/>
  <c r="I22" i="25"/>
  <c r="L23" i="25"/>
  <c r="M23" i="25"/>
  <c r="N23" i="25"/>
  <c r="O23" i="25"/>
  <c r="P23" i="25"/>
  <c r="R23" i="25" s="1"/>
  <c r="Q23" i="25"/>
  <c r="L24" i="25"/>
  <c r="M24" i="25"/>
  <c r="N24" i="25"/>
  <c r="O24" i="25"/>
  <c r="P24" i="25"/>
  <c r="H24" i="25"/>
  <c r="Q24" i="25"/>
  <c r="I24" i="25"/>
  <c r="L25" i="25"/>
  <c r="M25" i="25"/>
  <c r="N25" i="25"/>
  <c r="O25" i="25"/>
  <c r="P25" i="25"/>
  <c r="H25" i="25"/>
  <c r="Q25" i="25"/>
  <c r="I25" i="25"/>
  <c r="L26" i="25"/>
  <c r="M26" i="25"/>
  <c r="N26" i="25"/>
  <c r="O26" i="25"/>
  <c r="P26" i="25"/>
  <c r="Q26" i="25"/>
  <c r="I26" i="25"/>
  <c r="L27" i="25"/>
  <c r="M27" i="25"/>
  <c r="N27" i="25"/>
  <c r="O27" i="25"/>
  <c r="P27" i="25"/>
  <c r="R27" i="25" s="1"/>
  <c r="Q27" i="25"/>
  <c r="L28" i="25"/>
  <c r="M28" i="25"/>
  <c r="N28" i="25"/>
  <c r="O28" i="25"/>
  <c r="P28" i="25"/>
  <c r="R28" i="25" s="1"/>
  <c r="Q28" i="25"/>
  <c r="I28" i="25"/>
  <c r="L29" i="25"/>
  <c r="M29" i="25"/>
  <c r="N29" i="25"/>
  <c r="O29" i="25"/>
  <c r="P29" i="25"/>
  <c r="R29" i="25" s="1"/>
  <c r="Q29" i="25"/>
  <c r="I29" i="25"/>
  <c r="L30" i="25"/>
  <c r="M30" i="25"/>
  <c r="N30" i="25"/>
  <c r="O30" i="25"/>
  <c r="P30" i="25"/>
  <c r="R30" i="25" s="1"/>
  <c r="Q30" i="25"/>
  <c r="I30" i="25"/>
  <c r="L31" i="25"/>
  <c r="M31" i="25"/>
  <c r="N31" i="25"/>
  <c r="O31" i="25"/>
  <c r="P31" i="25"/>
  <c r="Q31" i="25"/>
  <c r="I31" i="25"/>
  <c r="L32" i="25"/>
  <c r="M32" i="25"/>
  <c r="N32" i="25"/>
  <c r="O32" i="25"/>
  <c r="P32" i="25"/>
  <c r="Q32" i="25"/>
  <c r="L33" i="25"/>
  <c r="M33" i="25"/>
  <c r="N33" i="25"/>
  <c r="O33" i="25"/>
  <c r="P33" i="25"/>
  <c r="R33" i="25" s="1"/>
  <c r="Q33" i="25"/>
  <c r="I33" i="25"/>
  <c r="L34" i="25"/>
  <c r="M34" i="25"/>
  <c r="N34" i="25"/>
  <c r="O34" i="25"/>
  <c r="P34" i="25"/>
  <c r="R34" i="25" s="1"/>
  <c r="H34" i="25"/>
  <c r="J34" i="25" s="1"/>
  <c r="Q34" i="25"/>
  <c r="L35" i="25"/>
  <c r="M35" i="25"/>
  <c r="N35" i="25"/>
  <c r="O35" i="25"/>
  <c r="P35" i="25"/>
  <c r="R35" i="25" s="1"/>
  <c r="Q35" i="25"/>
  <c r="L36" i="25"/>
  <c r="M36" i="25"/>
  <c r="N36" i="25"/>
  <c r="O36" i="25"/>
  <c r="P36" i="25"/>
  <c r="R36" i="25" s="1"/>
  <c r="Q36" i="25"/>
  <c r="I36" i="25"/>
  <c r="L37" i="25"/>
  <c r="M37" i="25"/>
  <c r="N37" i="25"/>
  <c r="O37" i="25"/>
  <c r="P37" i="25"/>
  <c r="R37" i="25" s="1"/>
  <c r="Q37" i="25"/>
  <c r="I37" i="25"/>
  <c r="L38" i="25"/>
  <c r="M38" i="25"/>
  <c r="N38" i="25"/>
  <c r="O38" i="25"/>
  <c r="P38" i="25"/>
  <c r="R38" i="25" s="1"/>
  <c r="Q38" i="25"/>
  <c r="I38" i="25"/>
  <c r="L39" i="25"/>
  <c r="M39" i="25"/>
  <c r="N39" i="25"/>
  <c r="O39" i="25"/>
  <c r="P39" i="25"/>
  <c r="Q39" i="25"/>
  <c r="I39" i="25"/>
  <c r="L40" i="25"/>
  <c r="M40" i="25"/>
  <c r="N40" i="25"/>
  <c r="O40" i="25"/>
  <c r="P40" i="25"/>
  <c r="R40" i="25" s="1"/>
  <c r="Q40" i="25"/>
  <c r="L41" i="25"/>
  <c r="M41" i="25"/>
  <c r="N41" i="25"/>
  <c r="O41" i="25"/>
  <c r="P41" i="25"/>
  <c r="R41" i="25" s="1"/>
  <c r="Q41" i="25"/>
  <c r="L42" i="25"/>
  <c r="M42" i="25"/>
  <c r="N42" i="25"/>
  <c r="O42" i="25"/>
  <c r="P42" i="25"/>
  <c r="H42" i="25"/>
  <c r="J42" i="25" s="1"/>
  <c r="Q42" i="25"/>
  <c r="I42" i="25"/>
  <c r="L43" i="25"/>
  <c r="M43" i="25"/>
  <c r="N43" i="25"/>
  <c r="O43" i="25"/>
  <c r="P43" i="25"/>
  <c r="R43" i="25" s="1"/>
  <c r="H43" i="25"/>
  <c r="J43" i="25" s="1"/>
  <c r="Q43" i="25"/>
  <c r="I43" i="25"/>
  <c r="L44" i="25"/>
  <c r="M44" i="25"/>
  <c r="N44" i="25"/>
  <c r="O44" i="25"/>
  <c r="P44" i="25"/>
  <c r="R44" i="25" s="1"/>
  <c r="Q44" i="25"/>
  <c r="I44" i="25"/>
  <c r="L45" i="25"/>
  <c r="M45" i="25"/>
  <c r="N45" i="25"/>
  <c r="O45" i="25"/>
  <c r="P45" i="25"/>
  <c r="Q45" i="25"/>
  <c r="I45" i="25"/>
  <c r="L46" i="25"/>
  <c r="M46" i="25"/>
  <c r="N46" i="25"/>
  <c r="O46" i="25"/>
  <c r="P46" i="25"/>
  <c r="R46" i="25" s="1"/>
  <c r="Q46" i="25"/>
  <c r="L47" i="25"/>
  <c r="M47" i="25"/>
  <c r="N47" i="25"/>
  <c r="O47" i="25"/>
  <c r="P47" i="25"/>
  <c r="R47" i="25" s="1"/>
  <c r="Q47" i="25"/>
  <c r="I47" i="25"/>
  <c r="L48" i="25"/>
  <c r="M48" i="25"/>
  <c r="N48" i="25"/>
  <c r="O48" i="25"/>
  <c r="P48" i="25"/>
  <c r="R48" i="25" s="1"/>
  <c r="H48" i="25"/>
  <c r="Q48" i="25"/>
  <c r="I48" i="25"/>
  <c r="L49" i="25"/>
  <c r="M49" i="25"/>
  <c r="N49" i="25"/>
  <c r="O49" i="25"/>
  <c r="P49" i="25"/>
  <c r="R49" i="25" s="1"/>
  <c r="Q49" i="25"/>
  <c r="I49" i="25"/>
  <c r="L50" i="25"/>
  <c r="M50" i="25"/>
  <c r="N50" i="25"/>
  <c r="O50" i="25"/>
  <c r="P50" i="25"/>
  <c r="R50" i="25" s="1"/>
  <c r="Q50" i="25"/>
  <c r="I50" i="25"/>
  <c r="L51" i="25"/>
  <c r="M51" i="25"/>
  <c r="N51" i="25"/>
  <c r="O51" i="25"/>
  <c r="P51" i="25"/>
  <c r="S51" i="25" s="1"/>
  <c r="M45" i="30" s="1"/>
  <c r="Q51" i="25"/>
  <c r="L52" i="25"/>
  <c r="M52" i="25"/>
  <c r="N52" i="25"/>
  <c r="O52" i="25"/>
  <c r="P52" i="25"/>
  <c r="Q52" i="25"/>
  <c r="I52" i="25"/>
  <c r="L53" i="25"/>
  <c r="M53" i="25"/>
  <c r="N53" i="25"/>
  <c r="O53" i="25"/>
  <c r="P53" i="25"/>
  <c r="R53" i="25" s="1"/>
  <c r="Q53" i="25"/>
  <c r="L54" i="25"/>
  <c r="M54" i="25"/>
  <c r="N54" i="25"/>
  <c r="O54" i="25"/>
  <c r="P54" i="25"/>
  <c r="R54" i="25" s="1"/>
  <c r="Q54" i="25"/>
  <c r="I54" i="25"/>
  <c r="L55" i="25"/>
  <c r="M55" i="25"/>
  <c r="N55" i="25"/>
  <c r="O55" i="25"/>
  <c r="P55" i="25"/>
  <c r="R55" i="25" s="1"/>
  <c r="Q55" i="25"/>
  <c r="I55" i="25"/>
  <c r="L56" i="25"/>
  <c r="M56" i="25"/>
  <c r="N56" i="25"/>
  <c r="O56" i="25"/>
  <c r="P56" i="25"/>
  <c r="Q56" i="25"/>
  <c r="L57" i="25"/>
  <c r="M57" i="25"/>
  <c r="N57" i="25"/>
  <c r="O57" i="25"/>
  <c r="P57" i="25"/>
  <c r="H57" i="25"/>
  <c r="Q57" i="25"/>
  <c r="L58" i="25"/>
  <c r="M58" i="25"/>
  <c r="N58" i="25"/>
  <c r="O58" i="25"/>
  <c r="P58" i="25"/>
  <c r="Q58" i="25"/>
  <c r="I58" i="25"/>
  <c r="I78" i="25" s="1"/>
  <c r="D4" i="25"/>
  <c r="E4" i="25"/>
  <c r="F4" i="25"/>
  <c r="G4" i="25"/>
  <c r="H4" i="25"/>
  <c r="D5" i="25"/>
  <c r="E5" i="25"/>
  <c r="F5" i="25"/>
  <c r="G5" i="25"/>
  <c r="H5" i="25"/>
  <c r="J5" i="25" s="1"/>
  <c r="I5" i="25"/>
  <c r="I3" i="25"/>
  <c r="I6" i="25"/>
  <c r="I7" i="25"/>
  <c r="I8" i="25"/>
  <c r="I12" i="25"/>
  <c r="I18" i="25"/>
  <c r="I19" i="25"/>
  <c r="I23" i="25"/>
  <c r="I27" i="25"/>
  <c r="I32" i="25"/>
  <c r="I34" i="25"/>
  <c r="I35" i="25"/>
  <c r="I40" i="25"/>
  <c r="I41" i="25"/>
  <c r="I46" i="25"/>
  <c r="I51" i="25"/>
  <c r="I53" i="25"/>
  <c r="I56" i="25"/>
  <c r="I57" i="25"/>
  <c r="D6" i="25"/>
  <c r="E6" i="25"/>
  <c r="F6" i="25"/>
  <c r="G6" i="25"/>
  <c r="H6" i="25"/>
  <c r="J6" i="25" s="1"/>
  <c r="D7" i="25"/>
  <c r="E7" i="25"/>
  <c r="F7" i="25"/>
  <c r="G7" i="25"/>
  <c r="D8" i="25"/>
  <c r="E8" i="25"/>
  <c r="F8" i="25"/>
  <c r="G8" i="25"/>
  <c r="D9" i="25"/>
  <c r="E9" i="25"/>
  <c r="F9" i="25"/>
  <c r="G9" i="25"/>
  <c r="H9" i="25"/>
  <c r="J9" i="25" s="1"/>
  <c r="D10" i="25"/>
  <c r="E10" i="25"/>
  <c r="F10" i="25"/>
  <c r="G10" i="25"/>
  <c r="H10" i="25"/>
  <c r="D11" i="25"/>
  <c r="E11" i="25"/>
  <c r="F11" i="25"/>
  <c r="G11" i="25"/>
  <c r="H11" i="25"/>
  <c r="J11" i="25" s="1"/>
  <c r="D12" i="25"/>
  <c r="E12" i="25"/>
  <c r="F12" i="25"/>
  <c r="G12" i="25"/>
  <c r="H12" i="25"/>
  <c r="D13" i="25"/>
  <c r="E13" i="25"/>
  <c r="F13" i="25"/>
  <c r="G13" i="25"/>
  <c r="H13" i="25"/>
  <c r="J13" i="25"/>
  <c r="D14" i="25"/>
  <c r="E14" i="25"/>
  <c r="F14" i="25"/>
  <c r="G14" i="25"/>
  <c r="H14" i="25"/>
  <c r="J14" i="25" s="1"/>
  <c r="D15" i="25"/>
  <c r="E15" i="25"/>
  <c r="F15" i="25"/>
  <c r="G15" i="25"/>
  <c r="H15" i="25"/>
  <c r="J15" i="25" s="1"/>
  <c r="D16" i="25"/>
  <c r="E16" i="25"/>
  <c r="F16" i="25"/>
  <c r="G16" i="25"/>
  <c r="H16" i="25"/>
  <c r="J16" i="25" s="1"/>
  <c r="D17" i="25"/>
  <c r="E17" i="25"/>
  <c r="F17" i="25"/>
  <c r="G17" i="25"/>
  <c r="H17" i="25"/>
  <c r="J17" i="25" s="1"/>
  <c r="D18" i="25"/>
  <c r="E18" i="25"/>
  <c r="F18" i="25"/>
  <c r="G18" i="25"/>
  <c r="H18" i="25"/>
  <c r="J18" i="25"/>
  <c r="D19" i="25"/>
  <c r="E19" i="25"/>
  <c r="F19" i="25"/>
  <c r="G19" i="25"/>
  <c r="D20" i="25"/>
  <c r="E20" i="25"/>
  <c r="F20" i="25"/>
  <c r="G20" i="25"/>
  <c r="H20" i="25"/>
  <c r="D21" i="25"/>
  <c r="E21" i="25"/>
  <c r="F21" i="25"/>
  <c r="G21" i="25"/>
  <c r="D22" i="25"/>
  <c r="E22" i="25"/>
  <c r="F22" i="25"/>
  <c r="G22" i="25"/>
  <c r="H22" i="25"/>
  <c r="D23" i="25"/>
  <c r="E23" i="25"/>
  <c r="F23" i="25"/>
  <c r="G23" i="25"/>
  <c r="H23" i="25"/>
  <c r="J23" i="25" s="1"/>
  <c r="D24" i="25"/>
  <c r="E24" i="25"/>
  <c r="F24" i="25"/>
  <c r="G24" i="25"/>
  <c r="D25" i="25"/>
  <c r="E25" i="25"/>
  <c r="F25" i="25"/>
  <c r="G25" i="25"/>
  <c r="D26" i="25"/>
  <c r="E26" i="25"/>
  <c r="F26" i="25"/>
  <c r="G26" i="25"/>
  <c r="H26" i="25"/>
  <c r="J26" i="25" s="1"/>
  <c r="D27" i="25"/>
  <c r="E27" i="25"/>
  <c r="F27" i="25"/>
  <c r="G27" i="25"/>
  <c r="H27" i="25"/>
  <c r="J27" i="25" s="1"/>
  <c r="D28" i="25"/>
  <c r="E28" i="25"/>
  <c r="F28" i="25"/>
  <c r="G28" i="25"/>
  <c r="H28" i="25"/>
  <c r="J28" i="25" s="1"/>
  <c r="D29" i="25"/>
  <c r="E29" i="25"/>
  <c r="F29" i="25"/>
  <c r="G29" i="25"/>
  <c r="H29" i="25"/>
  <c r="J29" i="25" s="1"/>
  <c r="D30" i="25"/>
  <c r="E30" i="25"/>
  <c r="F30" i="25"/>
  <c r="G30" i="25"/>
  <c r="H30" i="25"/>
  <c r="D31" i="25"/>
  <c r="E31" i="25"/>
  <c r="F31" i="25"/>
  <c r="G31" i="25"/>
  <c r="H31" i="25"/>
  <c r="J31" i="25" s="1"/>
  <c r="D32" i="25"/>
  <c r="E32" i="25"/>
  <c r="F32" i="25"/>
  <c r="G32" i="25"/>
  <c r="H32" i="25"/>
  <c r="J32" i="25" s="1"/>
  <c r="D33" i="25"/>
  <c r="E33" i="25"/>
  <c r="F33" i="25"/>
  <c r="G33" i="25"/>
  <c r="H33" i="25"/>
  <c r="D34" i="25"/>
  <c r="E34" i="25"/>
  <c r="F34" i="25"/>
  <c r="G34" i="25"/>
  <c r="D35" i="25"/>
  <c r="E35" i="25"/>
  <c r="F35" i="25"/>
  <c r="G35" i="25"/>
  <c r="H35" i="25"/>
  <c r="J35" i="25" s="1"/>
  <c r="D36" i="25"/>
  <c r="E36" i="25"/>
  <c r="F36" i="25"/>
  <c r="G36" i="25"/>
  <c r="H36" i="25"/>
  <c r="D37" i="25"/>
  <c r="E37" i="25"/>
  <c r="F37" i="25"/>
  <c r="G37" i="25"/>
  <c r="H37" i="25"/>
  <c r="D38" i="25"/>
  <c r="E38" i="25"/>
  <c r="F38" i="25"/>
  <c r="G38" i="25"/>
  <c r="H38" i="25"/>
  <c r="J38" i="25" s="1"/>
  <c r="D39" i="25"/>
  <c r="E39" i="25"/>
  <c r="F39" i="25"/>
  <c r="G39" i="25"/>
  <c r="H39" i="25"/>
  <c r="J39" i="25" s="1"/>
  <c r="D40" i="25"/>
  <c r="E40" i="25"/>
  <c r="F40" i="25"/>
  <c r="G40" i="25"/>
  <c r="H40" i="25"/>
  <c r="J40" i="25" s="1"/>
  <c r="D41" i="25"/>
  <c r="E41" i="25"/>
  <c r="F41" i="25"/>
  <c r="G41" i="25"/>
  <c r="H41" i="25"/>
  <c r="J41" i="25" s="1"/>
  <c r="D42" i="25"/>
  <c r="E42" i="25"/>
  <c r="F42" i="25"/>
  <c r="G42" i="25"/>
  <c r="D43" i="25"/>
  <c r="E43" i="25"/>
  <c r="F43" i="25"/>
  <c r="G43" i="25"/>
  <c r="D44" i="25"/>
  <c r="E44" i="25"/>
  <c r="F44" i="25"/>
  <c r="G44" i="25"/>
  <c r="H44" i="25"/>
  <c r="D45" i="25"/>
  <c r="E45" i="25"/>
  <c r="F45" i="25"/>
  <c r="G45" i="25"/>
  <c r="H45" i="25"/>
  <c r="J45" i="25" s="1"/>
  <c r="D46" i="25"/>
  <c r="E46" i="25"/>
  <c r="F46" i="25"/>
  <c r="G46" i="25"/>
  <c r="H46" i="25"/>
  <c r="J46" i="25" s="1"/>
  <c r="D47" i="25"/>
  <c r="E47" i="25"/>
  <c r="F47" i="25"/>
  <c r="G47" i="25"/>
  <c r="H47" i="25"/>
  <c r="D48" i="25"/>
  <c r="E48" i="25"/>
  <c r="F48" i="25"/>
  <c r="G48" i="25"/>
  <c r="D49" i="25"/>
  <c r="E49" i="25"/>
  <c r="F49" i="25"/>
  <c r="G49" i="25"/>
  <c r="H49" i="25"/>
  <c r="J49" i="25" s="1"/>
  <c r="D50" i="25"/>
  <c r="E50" i="25"/>
  <c r="F50" i="25"/>
  <c r="G50" i="25"/>
  <c r="H50" i="25"/>
  <c r="J50" i="25" s="1"/>
  <c r="D51" i="25"/>
  <c r="E51" i="25"/>
  <c r="F51" i="25"/>
  <c r="G51" i="25"/>
  <c r="H51" i="25"/>
  <c r="J51" i="25" s="1"/>
  <c r="D52" i="25"/>
  <c r="E52" i="25"/>
  <c r="F52" i="25"/>
  <c r="G52" i="25"/>
  <c r="H52" i="25"/>
  <c r="D53" i="25"/>
  <c r="E53" i="25"/>
  <c r="F53" i="25"/>
  <c r="G53" i="25"/>
  <c r="H53" i="25"/>
  <c r="J53" i="25" s="1"/>
  <c r="D54" i="25"/>
  <c r="E54" i="25"/>
  <c r="F54" i="25"/>
  <c r="G54" i="25"/>
  <c r="H54" i="25"/>
  <c r="J54" i="25" s="1"/>
  <c r="D55" i="25"/>
  <c r="E55" i="25"/>
  <c r="F55" i="25"/>
  <c r="G55" i="25"/>
  <c r="H55" i="25"/>
  <c r="J55" i="25" s="1"/>
  <c r="D56" i="25"/>
  <c r="E56" i="25"/>
  <c r="F56" i="25"/>
  <c r="G56" i="25"/>
  <c r="H56" i="25"/>
  <c r="J56" i="25" s="1"/>
  <c r="D57" i="25"/>
  <c r="E57" i="25"/>
  <c r="F57" i="25"/>
  <c r="G57" i="25"/>
  <c r="J57" i="25"/>
  <c r="D58" i="25"/>
  <c r="E58" i="25"/>
  <c r="F58" i="25"/>
  <c r="G58" i="25"/>
  <c r="H58" i="25"/>
  <c r="J58" i="25" s="1"/>
  <c r="Q3" i="25"/>
  <c r="P3" i="25"/>
  <c r="R3" i="25" s="1"/>
  <c r="O3" i="25"/>
  <c r="N3" i="25"/>
  <c r="M3" i="25"/>
  <c r="L3" i="25"/>
  <c r="H3" i="25"/>
  <c r="G3" i="25"/>
  <c r="F3" i="25"/>
  <c r="E3" i="25"/>
  <c r="D3" i="25"/>
  <c r="Q74" i="20"/>
  <c r="P74" i="20"/>
  <c r="R74" i="20" s="1"/>
  <c r="O74" i="20"/>
  <c r="N74" i="20"/>
  <c r="M74" i="20"/>
  <c r="L74" i="20"/>
  <c r="I74" i="20"/>
  <c r="H74" i="20"/>
  <c r="J74" i="20" s="1"/>
  <c r="G74" i="20"/>
  <c r="F74" i="20"/>
  <c r="E74" i="20"/>
  <c r="D74" i="20"/>
  <c r="Q73" i="20"/>
  <c r="I73" i="20"/>
  <c r="P73" i="20"/>
  <c r="H73" i="20"/>
  <c r="J73" i="20" s="1"/>
  <c r="O73" i="20"/>
  <c r="N73" i="20"/>
  <c r="M73" i="20"/>
  <c r="L73" i="20"/>
  <c r="G73" i="20"/>
  <c r="F73" i="20"/>
  <c r="E73" i="20"/>
  <c r="D73" i="20"/>
  <c r="Q72" i="20"/>
  <c r="P72" i="20"/>
  <c r="R72" i="20" s="1"/>
  <c r="O72" i="20"/>
  <c r="N72" i="20"/>
  <c r="M72" i="20"/>
  <c r="L72" i="20"/>
  <c r="I72" i="20"/>
  <c r="H72" i="20"/>
  <c r="J72" i="20" s="1"/>
  <c r="G72" i="20"/>
  <c r="F72" i="20"/>
  <c r="E72" i="20"/>
  <c r="D72" i="20"/>
  <c r="Q71" i="20"/>
  <c r="I71" i="20"/>
  <c r="P71" i="20"/>
  <c r="R71" i="20" s="1"/>
  <c r="O71" i="20"/>
  <c r="N71" i="20"/>
  <c r="M71" i="20"/>
  <c r="L71" i="20"/>
  <c r="H71" i="20"/>
  <c r="J71" i="20" s="1"/>
  <c r="G71" i="20"/>
  <c r="F71" i="20"/>
  <c r="E71" i="20"/>
  <c r="D71" i="20"/>
  <c r="Q70" i="20"/>
  <c r="I70" i="20"/>
  <c r="P70" i="20"/>
  <c r="O70" i="20"/>
  <c r="N70" i="20"/>
  <c r="M70" i="20"/>
  <c r="L70" i="20"/>
  <c r="H70" i="20"/>
  <c r="J70" i="20" s="1"/>
  <c r="G70" i="20"/>
  <c r="F70" i="20"/>
  <c r="E70" i="20"/>
  <c r="D70" i="20"/>
  <c r="Q69" i="20"/>
  <c r="P69" i="20"/>
  <c r="R69" i="20" s="1"/>
  <c r="O69" i="20"/>
  <c r="N69" i="20"/>
  <c r="M69" i="20"/>
  <c r="L69" i="20"/>
  <c r="I69" i="20"/>
  <c r="H69" i="20"/>
  <c r="J69" i="20" s="1"/>
  <c r="G69" i="20"/>
  <c r="F69" i="20"/>
  <c r="E69" i="20"/>
  <c r="D69" i="20"/>
  <c r="Q68" i="20"/>
  <c r="I68" i="20"/>
  <c r="P68" i="20"/>
  <c r="R68" i="20" s="1"/>
  <c r="H68" i="20"/>
  <c r="O68" i="20"/>
  <c r="N68" i="20"/>
  <c r="M68" i="20"/>
  <c r="L68" i="20"/>
  <c r="G68" i="20"/>
  <c r="F68" i="20"/>
  <c r="E68" i="20"/>
  <c r="D68" i="20"/>
  <c r="Q67" i="20"/>
  <c r="I67" i="20"/>
  <c r="P67" i="20"/>
  <c r="O67" i="20"/>
  <c r="N67" i="20"/>
  <c r="M67" i="20"/>
  <c r="L67" i="20"/>
  <c r="H67" i="20"/>
  <c r="J67" i="20"/>
  <c r="G67" i="20"/>
  <c r="F67" i="20"/>
  <c r="E67" i="20"/>
  <c r="D67" i="20"/>
  <c r="Q66" i="20"/>
  <c r="I66" i="20"/>
  <c r="P66" i="20"/>
  <c r="O66" i="20"/>
  <c r="N66" i="20"/>
  <c r="M66" i="20"/>
  <c r="L66" i="20"/>
  <c r="H66" i="20"/>
  <c r="J66" i="20" s="1"/>
  <c r="G66" i="20"/>
  <c r="F66" i="20"/>
  <c r="E66" i="20"/>
  <c r="D66" i="20"/>
  <c r="Q65" i="20"/>
  <c r="P65" i="20"/>
  <c r="R65" i="20" s="1"/>
  <c r="O65" i="20"/>
  <c r="N65" i="20"/>
  <c r="M65" i="20"/>
  <c r="L65" i="20"/>
  <c r="I65" i="20"/>
  <c r="H65" i="20"/>
  <c r="J65" i="20" s="1"/>
  <c r="G65" i="20"/>
  <c r="F65" i="20"/>
  <c r="E65" i="20"/>
  <c r="D65" i="20"/>
  <c r="Q64" i="20"/>
  <c r="P64" i="20"/>
  <c r="O64" i="20"/>
  <c r="N64" i="20"/>
  <c r="M64" i="20"/>
  <c r="L64" i="20"/>
  <c r="I64" i="20"/>
  <c r="H64" i="20"/>
  <c r="J64" i="20" s="1"/>
  <c r="G64" i="20"/>
  <c r="F64" i="20"/>
  <c r="E64" i="20"/>
  <c r="D64" i="20"/>
  <c r="Q63" i="20"/>
  <c r="I63" i="20"/>
  <c r="P63" i="20"/>
  <c r="O63" i="20"/>
  <c r="N63" i="20"/>
  <c r="M63" i="20"/>
  <c r="L63" i="20"/>
  <c r="H63" i="20"/>
  <c r="G63" i="20"/>
  <c r="F63" i="20"/>
  <c r="E63" i="20"/>
  <c r="D63" i="20"/>
  <c r="Q62" i="20"/>
  <c r="P62" i="20"/>
  <c r="O62" i="20"/>
  <c r="N62" i="20"/>
  <c r="M62" i="20"/>
  <c r="L62" i="20"/>
  <c r="I62" i="20"/>
  <c r="H62" i="20"/>
  <c r="J62" i="20"/>
  <c r="G62" i="20"/>
  <c r="F62" i="20"/>
  <c r="E62" i="20"/>
  <c r="D62" i="20"/>
  <c r="Q61" i="20"/>
  <c r="P61" i="20"/>
  <c r="O61" i="20"/>
  <c r="N61" i="20"/>
  <c r="M61" i="20"/>
  <c r="L61" i="20"/>
  <c r="I61" i="20"/>
  <c r="H61" i="20"/>
  <c r="J61" i="20" s="1"/>
  <c r="G61" i="20"/>
  <c r="F61" i="20"/>
  <c r="E61" i="20"/>
  <c r="D61" i="20"/>
  <c r="Q60" i="20"/>
  <c r="P60" i="20"/>
  <c r="R60" i="20" s="1"/>
  <c r="O60" i="20"/>
  <c r="N60" i="20"/>
  <c r="M60" i="20"/>
  <c r="L60" i="20"/>
  <c r="I60" i="20"/>
  <c r="H60" i="20"/>
  <c r="J60" i="20" s="1"/>
  <c r="G60" i="20"/>
  <c r="F60" i="20"/>
  <c r="E60" i="20"/>
  <c r="D60" i="20"/>
  <c r="Q59" i="20"/>
  <c r="I59" i="20"/>
  <c r="P59" i="20"/>
  <c r="R59" i="20" s="1"/>
  <c r="O59" i="20"/>
  <c r="N59" i="20"/>
  <c r="M59" i="20"/>
  <c r="L59" i="20"/>
  <c r="H59" i="20"/>
  <c r="J59" i="20"/>
  <c r="G59" i="20"/>
  <c r="F59" i="20"/>
  <c r="E59" i="20"/>
  <c r="D59" i="20"/>
  <c r="M3" i="20"/>
  <c r="N3" i="20"/>
  <c r="O3" i="20"/>
  <c r="P3" i="20"/>
  <c r="H3" i="20"/>
  <c r="J3" i="20" s="1"/>
  <c r="Q3" i="20"/>
  <c r="M4" i="20"/>
  <c r="N4" i="20"/>
  <c r="O4" i="20"/>
  <c r="P4" i="20"/>
  <c r="Q4" i="20"/>
  <c r="M5" i="20"/>
  <c r="N5" i="20"/>
  <c r="O5" i="20"/>
  <c r="P5" i="20"/>
  <c r="Q5" i="20"/>
  <c r="I5" i="20"/>
  <c r="M6" i="20"/>
  <c r="N6" i="20"/>
  <c r="O6" i="20"/>
  <c r="P6" i="20"/>
  <c r="R6" i="20" s="1"/>
  <c r="Q6" i="20"/>
  <c r="M7" i="20"/>
  <c r="N7" i="20"/>
  <c r="O7" i="20"/>
  <c r="P7" i="20"/>
  <c r="R7" i="20" s="1"/>
  <c r="Q7" i="20"/>
  <c r="M8" i="20"/>
  <c r="N8" i="20"/>
  <c r="O8" i="20"/>
  <c r="P8" i="20"/>
  <c r="Q8" i="20"/>
  <c r="I8" i="20"/>
  <c r="M9" i="20"/>
  <c r="N9" i="20"/>
  <c r="O9" i="20"/>
  <c r="P9" i="20"/>
  <c r="R9" i="20" s="1"/>
  <c r="Q9" i="20"/>
  <c r="M10" i="20"/>
  <c r="N10" i="20"/>
  <c r="O10" i="20"/>
  <c r="P10" i="20"/>
  <c r="R10" i="20" s="1"/>
  <c r="Q10" i="20"/>
  <c r="M11" i="20"/>
  <c r="N11" i="20"/>
  <c r="O11" i="20"/>
  <c r="P11" i="20"/>
  <c r="Q11" i="20"/>
  <c r="I11" i="20"/>
  <c r="M12" i="20"/>
  <c r="N12" i="20"/>
  <c r="O12" i="20"/>
  <c r="P12" i="20"/>
  <c r="Q12" i="20"/>
  <c r="M13" i="20"/>
  <c r="N13" i="20"/>
  <c r="O13" i="20"/>
  <c r="P13" i="20"/>
  <c r="R13" i="20" s="1"/>
  <c r="H13" i="20"/>
  <c r="Q13" i="20"/>
  <c r="I13" i="20"/>
  <c r="M14" i="20"/>
  <c r="N14" i="20"/>
  <c r="O14" i="20"/>
  <c r="P14" i="20"/>
  <c r="Q14" i="20"/>
  <c r="M15" i="20"/>
  <c r="N15" i="20"/>
  <c r="O15" i="20"/>
  <c r="P15" i="20"/>
  <c r="Q15" i="20"/>
  <c r="M16" i="20"/>
  <c r="N16" i="20"/>
  <c r="O16" i="20"/>
  <c r="P16" i="20"/>
  <c r="R16" i="20" s="1"/>
  <c r="H16" i="20"/>
  <c r="J16" i="20" s="1"/>
  <c r="Q16" i="20"/>
  <c r="M17" i="20"/>
  <c r="N17" i="20"/>
  <c r="O17" i="20"/>
  <c r="P17" i="20"/>
  <c r="R17" i="20" s="1"/>
  <c r="Q17" i="20"/>
  <c r="M18" i="20"/>
  <c r="N18" i="20"/>
  <c r="O18" i="20"/>
  <c r="P18" i="20"/>
  <c r="R18" i="20" s="1"/>
  <c r="Q18" i="20"/>
  <c r="M19" i="20"/>
  <c r="N19" i="20"/>
  <c r="O19" i="20"/>
  <c r="P19" i="20"/>
  <c r="R19" i="20" s="1"/>
  <c r="H19" i="20"/>
  <c r="J19" i="20" s="1"/>
  <c r="Q19" i="20"/>
  <c r="I19" i="20"/>
  <c r="M20" i="20"/>
  <c r="N20" i="20"/>
  <c r="O20" i="20"/>
  <c r="P20" i="20"/>
  <c r="Q20" i="20"/>
  <c r="M21" i="20"/>
  <c r="N21" i="20"/>
  <c r="O21" i="20"/>
  <c r="P21" i="20"/>
  <c r="Q21" i="20"/>
  <c r="M22" i="20"/>
  <c r="N22" i="20"/>
  <c r="O22" i="20"/>
  <c r="P22" i="20"/>
  <c r="R22" i="20" s="1"/>
  <c r="Q22" i="20"/>
  <c r="I22" i="20"/>
  <c r="M23" i="20"/>
  <c r="N23" i="20"/>
  <c r="O23" i="20"/>
  <c r="P23" i="20"/>
  <c r="R23" i="20" s="1"/>
  <c r="Q23" i="20"/>
  <c r="M24" i="20"/>
  <c r="N24" i="20"/>
  <c r="O24" i="20"/>
  <c r="P24" i="20"/>
  <c r="R24" i="20" s="1"/>
  <c r="Q24" i="20"/>
  <c r="M25" i="20"/>
  <c r="N25" i="20"/>
  <c r="O25" i="20"/>
  <c r="P25" i="20"/>
  <c r="Q25" i="20"/>
  <c r="I25" i="20"/>
  <c r="M26" i="20"/>
  <c r="N26" i="20"/>
  <c r="O26" i="20"/>
  <c r="P26" i="20"/>
  <c r="Q26" i="20"/>
  <c r="M27" i="20"/>
  <c r="N27" i="20"/>
  <c r="O27" i="20"/>
  <c r="P27" i="20"/>
  <c r="R27" i="20" s="1"/>
  <c r="H27" i="20"/>
  <c r="J27" i="20" s="1"/>
  <c r="Q27" i="20"/>
  <c r="M28" i="20"/>
  <c r="N28" i="20"/>
  <c r="O28" i="20"/>
  <c r="P28" i="20"/>
  <c r="R28" i="20" s="1"/>
  <c r="Q28" i="20"/>
  <c r="I28" i="20"/>
  <c r="M29" i="20"/>
  <c r="N29" i="20"/>
  <c r="O29" i="20"/>
  <c r="P29" i="20"/>
  <c r="R29" i="20" s="1"/>
  <c r="Q29" i="20"/>
  <c r="M30" i="20"/>
  <c r="N30" i="20"/>
  <c r="O30" i="20"/>
  <c r="P30" i="20"/>
  <c r="Q30" i="20"/>
  <c r="I30" i="20"/>
  <c r="M31" i="20"/>
  <c r="N31" i="20"/>
  <c r="O31" i="20"/>
  <c r="P31" i="20"/>
  <c r="Q31" i="20"/>
  <c r="I31" i="20"/>
  <c r="M32" i="20"/>
  <c r="N32" i="20"/>
  <c r="O32" i="20"/>
  <c r="P32" i="20"/>
  <c r="R32" i="20" s="1"/>
  <c r="Q32" i="20"/>
  <c r="M33" i="20"/>
  <c r="N33" i="20"/>
  <c r="O33" i="20"/>
  <c r="P33" i="20"/>
  <c r="Q33" i="20"/>
  <c r="I33" i="20"/>
  <c r="M34" i="20"/>
  <c r="N34" i="20"/>
  <c r="O34" i="20"/>
  <c r="P34" i="20"/>
  <c r="R34" i="20" s="1"/>
  <c r="Q34" i="20"/>
  <c r="M35" i="20"/>
  <c r="N35" i="20"/>
  <c r="O35" i="20"/>
  <c r="P35" i="20"/>
  <c r="R35" i="20" s="1"/>
  <c r="Q35" i="20"/>
  <c r="M36" i="20"/>
  <c r="N36" i="20"/>
  <c r="O36" i="20"/>
  <c r="P36" i="20"/>
  <c r="Q36" i="20"/>
  <c r="M37" i="20"/>
  <c r="N37" i="20"/>
  <c r="O37" i="20"/>
  <c r="P37" i="20"/>
  <c r="R37" i="20" s="1"/>
  <c r="Q37" i="20"/>
  <c r="M38" i="20"/>
  <c r="N38" i="20"/>
  <c r="O38" i="20"/>
  <c r="P38" i="20"/>
  <c r="R38" i="20" s="1"/>
  <c r="Q38" i="20"/>
  <c r="I38" i="20"/>
  <c r="M39" i="20"/>
  <c r="N39" i="20"/>
  <c r="O39" i="20"/>
  <c r="P39" i="20"/>
  <c r="R39" i="20" s="1"/>
  <c r="Q39" i="20"/>
  <c r="M40" i="20"/>
  <c r="N40" i="20"/>
  <c r="O40" i="20"/>
  <c r="P40" i="20"/>
  <c r="Q40" i="20"/>
  <c r="M41" i="20"/>
  <c r="N41" i="20"/>
  <c r="O41" i="20"/>
  <c r="P41" i="20"/>
  <c r="Q41" i="20"/>
  <c r="I41" i="20"/>
  <c r="M42" i="20"/>
  <c r="N42" i="20"/>
  <c r="O42" i="20"/>
  <c r="P42" i="20"/>
  <c r="R42" i="20" s="1"/>
  <c r="Q42" i="20"/>
  <c r="M43" i="20"/>
  <c r="N43" i="20"/>
  <c r="O43" i="20"/>
  <c r="P43" i="20"/>
  <c r="Q43" i="20"/>
  <c r="M44" i="20"/>
  <c r="N44" i="20"/>
  <c r="O44" i="20"/>
  <c r="P44" i="20"/>
  <c r="Q44" i="20"/>
  <c r="I44" i="20"/>
  <c r="M45" i="20"/>
  <c r="N45" i="20"/>
  <c r="O45" i="20"/>
  <c r="P45" i="20"/>
  <c r="R45" i="20" s="1"/>
  <c r="Q45" i="20"/>
  <c r="I45" i="20"/>
  <c r="M46" i="20"/>
  <c r="N46" i="20"/>
  <c r="O46" i="20"/>
  <c r="P46" i="20"/>
  <c r="R46" i="20" s="1"/>
  <c r="H46" i="20"/>
  <c r="J46" i="20" s="1"/>
  <c r="Q46" i="20"/>
  <c r="M47" i="20"/>
  <c r="N47" i="20"/>
  <c r="O47" i="20"/>
  <c r="P47" i="20"/>
  <c r="R47" i="20" s="1"/>
  <c r="Q47" i="20"/>
  <c r="I47" i="20"/>
  <c r="M48" i="20"/>
  <c r="N48" i="20"/>
  <c r="O48" i="20"/>
  <c r="P48" i="20"/>
  <c r="H48" i="20"/>
  <c r="J48" i="20" s="1"/>
  <c r="Q48" i="20"/>
  <c r="M49" i="20"/>
  <c r="N49" i="20"/>
  <c r="O49" i="20"/>
  <c r="P49" i="20"/>
  <c r="R49" i="20" s="1"/>
  <c r="Q49" i="20"/>
  <c r="I49" i="20"/>
  <c r="M50" i="20"/>
  <c r="N50" i="20"/>
  <c r="O50" i="20"/>
  <c r="P50" i="20"/>
  <c r="Q50" i="20"/>
  <c r="I50" i="20"/>
  <c r="M51" i="20"/>
  <c r="N51" i="20"/>
  <c r="O51" i="20"/>
  <c r="P51" i="20"/>
  <c r="R51" i="20" s="1"/>
  <c r="Q51" i="20"/>
  <c r="T51" i="20" s="1"/>
  <c r="T78" i="20" s="1"/>
  <c r="M52" i="20"/>
  <c r="N52" i="20"/>
  <c r="O52" i="20"/>
  <c r="P52" i="20"/>
  <c r="Q52" i="20"/>
  <c r="I52" i="20"/>
  <c r="M53" i="20"/>
  <c r="N53" i="20"/>
  <c r="O53" i="20"/>
  <c r="P53" i="20"/>
  <c r="R53" i="20" s="1"/>
  <c r="Q53" i="20"/>
  <c r="M54" i="20"/>
  <c r="N54" i="20"/>
  <c r="O54" i="20"/>
  <c r="P54" i="20"/>
  <c r="R54" i="20" s="1"/>
  <c r="Q54" i="20"/>
  <c r="M55" i="20"/>
  <c r="N55" i="20"/>
  <c r="O55" i="20"/>
  <c r="P55" i="20"/>
  <c r="R55" i="20" s="1"/>
  <c r="Q55" i="20"/>
  <c r="I55" i="20"/>
  <c r="M56" i="20"/>
  <c r="N56" i="20"/>
  <c r="O56" i="20"/>
  <c r="P56" i="20"/>
  <c r="R56" i="20" s="1"/>
  <c r="Q56" i="20"/>
  <c r="M57" i="20"/>
  <c r="N57" i="20"/>
  <c r="O57" i="20"/>
  <c r="P57" i="20"/>
  <c r="R57" i="20" s="1"/>
  <c r="Q57" i="20"/>
  <c r="M58" i="20"/>
  <c r="N58" i="20"/>
  <c r="O58" i="20"/>
  <c r="P58" i="20"/>
  <c r="Q58" i="20"/>
  <c r="L4" i="20"/>
  <c r="L5" i="20"/>
  <c r="L6" i="20"/>
  <c r="L7" i="20"/>
  <c r="L8" i="20"/>
  <c r="L9" i="20"/>
  <c r="L10" i="20"/>
  <c r="L11" i="20"/>
  <c r="L12" i="20"/>
  <c r="L13" i="20"/>
  <c r="L14" i="20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3" i="20"/>
  <c r="E3" i="20"/>
  <c r="F3" i="20"/>
  <c r="G3" i="20"/>
  <c r="I3" i="20"/>
  <c r="E4" i="20"/>
  <c r="F4" i="20"/>
  <c r="G4" i="20"/>
  <c r="H4" i="20"/>
  <c r="J4" i="20" s="1"/>
  <c r="I4" i="20"/>
  <c r="E5" i="20"/>
  <c r="F5" i="20"/>
  <c r="G5" i="20"/>
  <c r="H5" i="20"/>
  <c r="J5" i="20" s="1"/>
  <c r="I6" i="20"/>
  <c r="I7" i="20"/>
  <c r="I9" i="20"/>
  <c r="I10" i="20"/>
  <c r="I12" i="20"/>
  <c r="I14" i="20"/>
  <c r="I15" i="20"/>
  <c r="I16" i="20"/>
  <c r="I17" i="20"/>
  <c r="I18" i="20"/>
  <c r="E6" i="20"/>
  <c r="F6" i="20"/>
  <c r="G6" i="20"/>
  <c r="H6" i="20"/>
  <c r="J6" i="20" s="1"/>
  <c r="E7" i="20"/>
  <c r="F7" i="20"/>
  <c r="G7" i="20"/>
  <c r="H7" i="20"/>
  <c r="E8" i="20"/>
  <c r="F8" i="20"/>
  <c r="G8" i="20"/>
  <c r="H8" i="20"/>
  <c r="J8" i="20" s="1"/>
  <c r="E9" i="20"/>
  <c r="F9" i="20"/>
  <c r="G9" i="20"/>
  <c r="H9" i="20"/>
  <c r="E10" i="20"/>
  <c r="F10" i="20"/>
  <c r="G10" i="20"/>
  <c r="H10" i="20"/>
  <c r="J10" i="20" s="1"/>
  <c r="E11" i="20"/>
  <c r="F11" i="20"/>
  <c r="G11" i="20"/>
  <c r="H11" i="20"/>
  <c r="J11" i="20" s="1"/>
  <c r="E12" i="20"/>
  <c r="F12" i="20"/>
  <c r="G12" i="20"/>
  <c r="H12" i="20"/>
  <c r="J12" i="20" s="1"/>
  <c r="I20" i="20"/>
  <c r="I21" i="20"/>
  <c r="I23" i="20"/>
  <c r="I24" i="20"/>
  <c r="I26" i="20"/>
  <c r="I27" i="20"/>
  <c r="I29" i="20"/>
  <c r="I32" i="20"/>
  <c r="I34" i="20"/>
  <c r="I35" i="20"/>
  <c r="I36" i="20"/>
  <c r="I37" i="20"/>
  <c r="I39" i="20"/>
  <c r="T39" i="20" s="1"/>
  <c r="I40" i="20"/>
  <c r="I42" i="20"/>
  <c r="I43" i="20"/>
  <c r="I46" i="20"/>
  <c r="I48" i="20"/>
  <c r="E13" i="20"/>
  <c r="F13" i="20"/>
  <c r="G13" i="20"/>
  <c r="E14" i="20"/>
  <c r="F14" i="20"/>
  <c r="G14" i="20"/>
  <c r="H14" i="20"/>
  <c r="J14" i="20" s="1"/>
  <c r="E15" i="20"/>
  <c r="F15" i="20"/>
  <c r="G15" i="20"/>
  <c r="H15" i="20"/>
  <c r="J15" i="20" s="1"/>
  <c r="E16" i="20"/>
  <c r="F16" i="20"/>
  <c r="G16" i="20"/>
  <c r="E17" i="20"/>
  <c r="F17" i="20"/>
  <c r="G17" i="20"/>
  <c r="H17" i="20"/>
  <c r="J17" i="20" s="1"/>
  <c r="E18" i="20"/>
  <c r="F18" i="20"/>
  <c r="G18" i="20"/>
  <c r="H18" i="20"/>
  <c r="J18" i="20" s="1"/>
  <c r="E19" i="20"/>
  <c r="F19" i="20"/>
  <c r="G19" i="20"/>
  <c r="H20" i="20"/>
  <c r="J20" i="20" s="1"/>
  <c r="H21" i="20"/>
  <c r="J21" i="20" s="1"/>
  <c r="H22" i="20"/>
  <c r="J22" i="20"/>
  <c r="H23" i="20"/>
  <c r="J23" i="20" s="1"/>
  <c r="H24" i="20"/>
  <c r="J24" i="20" s="1"/>
  <c r="H25" i="20"/>
  <c r="J25" i="20"/>
  <c r="H26" i="20"/>
  <c r="J26" i="20" s="1"/>
  <c r="H28" i="20"/>
  <c r="J28" i="20" s="1"/>
  <c r="H29" i="20"/>
  <c r="J29" i="20" s="1"/>
  <c r="H30" i="20"/>
  <c r="J30" i="20" s="1"/>
  <c r="H31" i="20"/>
  <c r="J31" i="20" s="1"/>
  <c r="H32" i="20"/>
  <c r="J32" i="20" s="1"/>
  <c r="H33" i="20"/>
  <c r="J33" i="20" s="1"/>
  <c r="H34" i="20"/>
  <c r="J34" i="20" s="1"/>
  <c r="E20" i="20"/>
  <c r="F20" i="20"/>
  <c r="G20" i="20"/>
  <c r="E21" i="20"/>
  <c r="F21" i="20"/>
  <c r="G21" i="20"/>
  <c r="E22" i="20"/>
  <c r="F22" i="20"/>
  <c r="G22" i="20"/>
  <c r="E23" i="20"/>
  <c r="F23" i="20"/>
  <c r="G23" i="20"/>
  <c r="E24" i="20"/>
  <c r="F24" i="20"/>
  <c r="G24" i="20"/>
  <c r="E25" i="20"/>
  <c r="F25" i="20"/>
  <c r="G25" i="20"/>
  <c r="E26" i="20"/>
  <c r="F26" i="20"/>
  <c r="G26" i="20"/>
  <c r="E27" i="20"/>
  <c r="F27" i="20"/>
  <c r="G27" i="20"/>
  <c r="E28" i="20"/>
  <c r="F28" i="20"/>
  <c r="G28" i="20"/>
  <c r="E29" i="20"/>
  <c r="F29" i="20"/>
  <c r="G29" i="20"/>
  <c r="E30" i="20"/>
  <c r="F30" i="20"/>
  <c r="G30" i="20"/>
  <c r="E31" i="20"/>
  <c r="F31" i="20"/>
  <c r="G31" i="20"/>
  <c r="E32" i="20"/>
  <c r="F32" i="20"/>
  <c r="G32" i="20"/>
  <c r="E33" i="20"/>
  <c r="F33" i="20"/>
  <c r="G33" i="20"/>
  <c r="E34" i="20"/>
  <c r="F34" i="20"/>
  <c r="G34" i="20"/>
  <c r="E35" i="20"/>
  <c r="F35" i="20"/>
  <c r="G35" i="20"/>
  <c r="H35" i="20"/>
  <c r="J35" i="20" s="1"/>
  <c r="E36" i="20"/>
  <c r="F36" i="20"/>
  <c r="G36" i="20"/>
  <c r="H36" i="20"/>
  <c r="J36" i="20" s="1"/>
  <c r="E37" i="20"/>
  <c r="F37" i="20"/>
  <c r="G37" i="20"/>
  <c r="H37" i="20"/>
  <c r="E38" i="20"/>
  <c r="F38" i="20"/>
  <c r="G38" i="20"/>
  <c r="H38" i="20"/>
  <c r="J38" i="20" s="1"/>
  <c r="E39" i="20"/>
  <c r="F39" i="20"/>
  <c r="G39" i="20"/>
  <c r="H39" i="20"/>
  <c r="J39" i="20" s="1"/>
  <c r="E40" i="20"/>
  <c r="F40" i="20"/>
  <c r="G40" i="20"/>
  <c r="H40" i="20"/>
  <c r="J40" i="20" s="1"/>
  <c r="E41" i="20"/>
  <c r="F41" i="20"/>
  <c r="G41" i="20"/>
  <c r="H41" i="20"/>
  <c r="J41" i="20" s="1"/>
  <c r="E42" i="20"/>
  <c r="F42" i="20"/>
  <c r="G42" i="20"/>
  <c r="H42" i="20"/>
  <c r="E43" i="20"/>
  <c r="F43" i="20"/>
  <c r="G43" i="20"/>
  <c r="H43" i="20"/>
  <c r="J43" i="20" s="1"/>
  <c r="E44" i="20"/>
  <c r="F44" i="20"/>
  <c r="G44" i="20"/>
  <c r="H44" i="20"/>
  <c r="J44" i="20" s="1"/>
  <c r="E45" i="20"/>
  <c r="F45" i="20"/>
  <c r="G45" i="20"/>
  <c r="H45" i="20"/>
  <c r="E46" i="20"/>
  <c r="F46" i="20"/>
  <c r="G46" i="20"/>
  <c r="E47" i="20"/>
  <c r="F47" i="20"/>
  <c r="G47" i="20"/>
  <c r="H47" i="20"/>
  <c r="E48" i="20"/>
  <c r="F48" i="20"/>
  <c r="G48" i="20"/>
  <c r="E49" i="20"/>
  <c r="F49" i="20"/>
  <c r="G49" i="20"/>
  <c r="H49" i="20"/>
  <c r="J49" i="20"/>
  <c r="E50" i="20"/>
  <c r="F50" i="20"/>
  <c r="G50" i="20"/>
  <c r="H50" i="20"/>
  <c r="E51" i="20"/>
  <c r="F51" i="20"/>
  <c r="G51" i="20"/>
  <c r="H51" i="20"/>
  <c r="J51" i="20" s="1"/>
  <c r="I51" i="20"/>
  <c r="E52" i="20"/>
  <c r="F52" i="20"/>
  <c r="G52" i="20"/>
  <c r="H52" i="20"/>
  <c r="J52" i="20" s="1"/>
  <c r="E53" i="20"/>
  <c r="F53" i="20"/>
  <c r="G53" i="20"/>
  <c r="H53" i="20"/>
  <c r="I53" i="20"/>
  <c r="I54" i="20"/>
  <c r="I56" i="20"/>
  <c r="I57" i="20"/>
  <c r="I58" i="20"/>
  <c r="E54" i="20"/>
  <c r="F54" i="20"/>
  <c r="G54" i="20"/>
  <c r="H54" i="20"/>
  <c r="J54" i="20" s="1"/>
  <c r="E55" i="20"/>
  <c r="F55" i="20"/>
  <c r="G55" i="20"/>
  <c r="H55" i="20"/>
  <c r="E56" i="20"/>
  <c r="F56" i="20"/>
  <c r="G56" i="20"/>
  <c r="H56" i="20"/>
  <c r="J56" i="20"/>
  <c r="E57" i="20"/>
  <c r="F57" i="20"/>
  <c r="G57" i="20"/>
  <c r="H57" i="20"/>
  <c r="E58" i="20"/>
  <c r="F58" i="20"/>
  <c r="G58" i="20"/>
  <c r="H58" i="20"/>
  <c r="J58" i="20" s="1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3" i="20"/>
  <c r="Q74" i="27"/>
  <c r="P74" i="27"/>
  <c r="H74" i="27"/>
  <c r="J74" i="27" s="1"/>
  <c r="O74" i="27"/>
  <c r="N74" i="27"/>
  <c r="M74" i="27"/>
  <c r="L74" i="27"/>
  <c r="I74" i="27"/>
  <c r="G74" i="27"/>
  <c r="F74" i="27"/>
  <c r="E74" i="27"/>
  <c r="D74" i="27"/>
  <c r="Q73" i="27"/>
  <c r="P73" i="27"/>
  <c r="R73" i="27" s="1"/>
  <c r="O73" i="27"/>
  <c r="N73" i="27"/>
  <c r="M73" i="27"/>
  <c r="L73" i="27"/>
  <c r="I73" i="27"/>
  <c r="H73" i="27"/>
  <c r="J73" i="27" s="1"/>
  <c r="G73" i="27"/>
  <c r="F73" i="27"/>
  <c r="E73" i="27"/>
  <c r="D73" i="27"/>
  <c r="Q72" i="27"/>
  <c r="I72" i="27"/>
  <c r="P72" i="27"/>
  <c r="R72" i="27" s="1"/>
  <c r="O72" i="27"/>
  <c r="N72" i="27"/>
  <c r="M72" i="27"/>
  <c r="L72" i="27"/>
  <c r="H72" i="27"/>
  <c r="J72" i="27" s="1"/>
  <c r="G72" i="27"/>
  <c r="F72" i="27"/>
  <c r="E72" i="27"/>
  <c r="D72" i="27"/>
  <c r="Q71" i="27"/>
  <c r="P71" i="27"/>
  <c r="O71" i="27"/>
  <c r="N71" i="27"/>
  <c r="M71" i="27"/>
  <c r="L71" i="27"/>
  <c r="I71" i="27"/>
  <c r="H71" i="27"/>
  <c r="J71" i="27" s="1"/>
  <c r="G71" i="27"/>
  <c r="F71" i="27"/>
  <c r="E71" i="27"/>
  <c r="D71" i="27"/>
  <c r="Q70" i="27"/>
  <c r="P70" i="27"/>
  <c r="H70" i="27"/>
  <c r="J70" i="27" s="1"/>
  <c r="O70" i="27"/>
  <c r="N70" i="27"/>
  <c r="M70" i="27"/>
  <c r="L70" i="27"/>
  <c r="I70" i="27"/>
  <c r="G70" i="27"/>
  <c r="F70" i="27"/>
  <c r="E70" i="27"/>
  <c r="D70" i="27"/>
  <c r="Q69" i="27"/>
  <c r="P69" i="27"/>
  <c r="O69" i="27"/>
  <c r="N69" i="27"/>
  <c r="M69" i="27"/>
  <c r="L69" i="27"/>
  <c r="I69" i="27"/>
  <c r="H69" i="27"/>
  <c r="J69" i="27" s="1"/>
  <c r="G69" i="27"/>
  <c r="F69" i="27"/>
  <c r="E69" i="27"/>
  <c r="D69" i="27"/>
  <c r="Q68" i="27"/>
  <c r="I68" i="27"/>
  <c r="P68" i="27"/>
  <c r="O68" i="27"/>
  <c r="N68" i="27"/>
  <c r="M68" i="27"/>
  <c r="L68" i="27"/>
  <c r="H68" i="27"/>
  <c r="J68" i="27" s="1"/>
  <c r="G68" i="27"/>
  <c r="F68" i="27"/>
  <c r="E68" i="27"/>
  <c r="D68" i="27"/>
  <c r="Q67" i="27"/>
  <c r="I67" i="27"/>
  <c r="P67" i="27"/>
  <c r="O67" i="27"/>
  <c r="N67" i="27"/>
  <c r="M67" i="27"/>
  <c r="L67" i="27"/>
  <c r="H67" i="27"/>
  <c r="J67" i="27" s="1"/>
  <c r="G67" i="27"/>
  <c r="F67" i="27"/>
  <c r="E67" i="27"/>
  <c r="D67" i="27"/>
  <c r="Q66" i="27"/>
  <c r="I66" i="27"/>
  <c r="P66" i="27"/>
  <c r="R66" i="27" s="1"/>
  <c r="O66" i="27"/>
  <c r="N66" i="27"/>
  <c r="M66" i="27"/>
  <c r="L66" i="27"/>
  <c r="H66" i="27"/>
  <c r="J66" i="27"/>
  <c r="G66" i="27"/>
  <c r="F66" i="27"/>
  <c r="E66" i="27"/>
  <c r="D66" i="27"/>
  <c r="Q65" i="27"/>
  <c r="I65" i="27"/>
  <c r="P65" i="27"/>
  <c r="O65" i="27"/>
  <c r="N65" i="27"/>
  <c r="M65" i="27"/>
  <c r="L65" i="27"/>
  <c r="H65" i="27"/>
  <c r="J65" i="27" s="1"/>
  <c r="G65" i="27"/>
  <c r="F65" i="27"/>
  <c r="E65" i="27"/>
  <c r="D65" i="27"/>
  <c r="Q64" i="27"/>
  <c r="P64" i="27"/>
  <c r="H64" i="27"/>
  <c r="J64" i="27" s="1"/>
  <c r="O64" i="27"/>
  <c r="N64" i="27"/>
  <c r="M64" i="27"/>
  <c r="L64" i="27"/>
  <c r="I64" i="27"/>
  <c r="G64" i="27"/>
  <c r="F64" i="27"/>
  <c r="E64" i="27"/>
  <c r="D64" i="27"/>
  <c r="Q63" i="27"/>
  <c r="I63" i="27"/>
  <c r="P63" i="27"/>
  <c r="R63" i="27" s="1"/>
  <c r="O63" i="27"/>
  <c r="N63" i="27"/>
  <c r="M63" i="27"/>
  <c r="L63" i="27"/>
  <c r="H63" i="27"/>
  <c r="J63" i="27" s="1"/>
  <c r="G63" i="27"/>
  <c r="F63" i="27"/>
  <c r="E63" i="27"/>
  <c r="D63" i="27"/>
  <c r="Q62" i="27"/>
  <c r="I62" i="27"/>
  <c r="P62" i="27"/>
  <c r="R62" i="27" s="1"/>
  <c r="O62" i="27"/>
  <c r="N62" i="27"/>
  <c r="M62" i="27"/>
  <c r="L62" i="27"/>
  <c r="H62" i="27"/>
  <c r="J62" i="27" s="1"/>
  <c r="G62" i="27"/>
  <c r="F62" i="27"/>
  <c r="E62" i="27"/>
  <c r="D62" i="27"/>
  <c r="Q61" i="27"/>
  <c r="T61" i="27" s="1"/>
  <c r="P61" i="27"/>
  <c r="R61" i="27" s="1"/>
  <c r="O61" i="27"/>
  <c r="N61" i="27"/>
  <c r="M61" i="27"/>
  <c r="L61" i="27"/>
  <c r="I61" i="27"/>
  <c r="H61" i="27"/>
  <c r="J61" i="27" s="1"/>
  <c r="G61" i="27"/>
  <c r="F61" i="27"/>
  <c r="E61" i="27"/>
  <c r="D61" i="27"/>
  <c r="Q60" i="27"/>
  <c r="P60" i="27"/>
  <c r="R60" i="27" s="1"/>
  <c r="O60" i="27"/>
  <c r="N60" i="27"/>
  <c r="M60" i="27"/>
  <c r="L60" i="27"/>
  <c r="I60" i="27"/>
  <c r="H60" i="27"/>
  <c r="G60" i="27"/>
  <c r="F60" i="27"/>
  <c r="E60" i="27"/>
  <c r="D60" i="27"/>
  <c r="Q59" i="27"/>
  <c r="P59" i="27"/>
  <c r="O59" i="27"/>
  <c r="N59" i="27"/>
  <c r="M59" i="27"/>
  <c r="L59" i="27"/>
  <c r="I59" i="27"/>
  <c r="H59" i="27"/>
  <c r="J59" i="27" s="1"/>
  <c r="G59" i="27"/>
  <c r="F59" i="27"/>
  <c r="E59" i="27"/>
  <c r="D59" i="27"/>
  <c r="J60" i="29"/>
  <c r="J74" i="29"/>
  <c r="I46" i="30"/>
  <c r="I45" i="30"/>
  <c r="I44" i="30"/>
  <c r="I43" i="30"/>
  <c r="I42" i="30"/>
  <c r="I41" i="30"/>
  <c r="I40" i="30"/>
  <c r="I39" i="30"/>
  <c r="I38" i="30"/>
  <c r="I37" i="30"/>
  <c r="I36" i="30"/>
  <c r="I35" i="30"/>
  <c r="I34" i="30"/>
  <c r="I33" i="30"/>
  <c r="B46" i="30"/>
  <c r="B45" i="30"/>
  <c r="B44" i="30"/>
  <c r="B43" i="30"/>
  <c r="B42" i="30"/>
  <c r="B41" i="30"/>
  <c r="B40" i="30"/>
  <c r="B39" i="30"/>
  <c r="B38" i="30"/>
  <c r="B37" i="30"/>
  <c r="B36" i="30"/>
  <c r="B35" i="30"/>
  <c r="B34" i="30"/>
  <c r="B33" i="30"/>
  <c r="I18" i="30"/>
  <c r="I17" i="30"/>
  <c r="I16" i="30"/>
  <c r="I15" i="30"/>
  <c r="I14" i="30"/>
  <c r="I13" i="30"/>
  <c r="I12" i="30"/>
  <c r="I11" i="30"/>
  <c r="I10" i="30"/>
  <c r="I9" i="30"/>
  <c r="I8" i="30"/>
  <c r="I7" i="30"/>
  <c r="I6" i="30"/>
  <c r="I5" i="30"/>
  <c r="B18" i="30"/>
  <c r="B17" i="30"/>
  <c r="B16" i="30"/>
  <c r="B15" i="30"/>
  <c r="B14" i="30"/>
  <c r="B13" i="30"/>
  <c r="B12" i="30"/>
  <c r="B11" i="30"/>
  <c r="B10" i="30"/>
  <c r="B9" i="30"/>
  <c r="B8" i="30"/>
  <c r="B7" i="30"/>
  <c r="B6" i="30"/>
  <c r="B5" i="30"/>
  <c r="Q3" i="27"/>
  <c r="I3" i="27"/>
  <c r="P3" i="27"/>
  <c r="H3" i="27"/>
  <c r="J3" i="27" s="1"/>
  <c r="O3" i="27"/>
  <c r="O4" i="27"/>
  <c r="O5" i="27"/>
  <c r="O6" i="27"/>
  <c r="N3" i="27"/>
  <c r="N4" i="27"/>
  <c r="N5" i="27"/>
  <c r="N6" i="27"/>
  <c r="M3" i="27"/>
  <c r="M4" i="27"/>
  <c r="M5" i="27"/>
  <c r="M6" i="27"/>
  <c r="Q55" i="27"/>
  <c r="P55" i="27"/>
  <c r="R55" i="27" s="1"/>
  <c r="O55" i="27"/>
  <c r="O56" i="27"/>
  <c r="O57" i="27"/>
  <c r="O58" i="27"/>
  <c r="N55" i="27"/>
  <c r="N56" i="27"/>
  <c r="N57" i="27"/>
  <c r="N58" i="27"/>
  <c r="M55" i="27"/>
  <c r="M56" i="27"/>
  <c r="M57" i="27"/>
  <c r="M58" i="27"/>
  <c r="Q51" i="27"/>
  <c r="P51" i="27"/>
  <c r="O51" i="27"/>
  <c r="O52" i="27"/>
  <c r="O53" i="27"/>
  <c r="O54" i="27"/>
  <c r="N51" i="27"/>
  <c r="N52" i="27"/>
  <c r="N53" i="27"/>
  <c r="N54" i="27"/>
  <c r="M51" i="27"/>
  <c r="M52" i="27"/>
  <c r="M53" i="27"/>
  <c r="M54" i="27"/>
  <c r="Q47" i="27"/>
  <c r="I47" i="27"/>
  <c r="P47" i="27"/>
  <c r="R47" i="27" s="1"/>
  <c r="O47" i="27"/>
  <c r="O48" i="27"/>
  <c r="O49" i="27"/>
  <c r="O50" i="27"/>
  <c r="N47" i="27"/>
  <c r="N48" i="27"/>
  <c r="N49" i="27"/>
  <c r="N50" i="27"/>
  <c r="M47" i="27"/>
  <c r="M48" i="27"/>
  <c r="M49" i="27"/>
  <c r="M50" i="27"/>
  <c r="Q43" i="27"/>
  <c r="I43" i="27"/>
  <c r="P43" i="27"/>
  <c r="O43" i="27"/>
  <c r="O44" i="27"/>
  <c r="O45" i="27"/>
  <c r="O46" i="27"/>
  <c r="N43" i="27"/>
  <c r="N44" i="27"/>
  <c r="N45" i="27"/>
  <c r="N46" i="27"/>
  <c r="M43" i="27"/>
  <c r="M44" i="27"/>
  <c r="M45" i="27"/>
  <c r="M46" i="27"/>
  <c r="Q39" i="27"/>
  <c r="I39" i="27"/>
  <c r="P39" i="27"/>
  <c r="O39" i="27"/>
  <c r="O40" i="27"/>
  <c r="O41" i="27"/>
  <c r="O42" i="27"/>
  <c r="N39" i="27"/>
  <c r="N40" i="27"/>
  <c r="N41" i="27"/>
  <c r="N42" i="27"/>
  <c r="M39" i="27"/>
  <c r="M40" i="27"/>
  <c r="M41" i="27"/>
  <c r="M42" i="27"/>
  <c r="Q35" i="27"/>
  <c r="I35" i="27"/>
  <c r="P35" i="27"/>
  <c r="R35" i="27" s="1"/>
  <c r="O35" i="27"/>
  <c r="O36" i="27"/>
  <c r="O37" i="27"/>
  <c r="O38" i="27"/>
  <c r="N35" i="27"/>
  <c r="N36" i="27"/>
  <c r="N37" i="27"/>
  <c r="N38" i="27"/>
  <c r="M35" i="27"/>
  <c r="M36" i="27"/>
  <c r="M37" i="27"/>
  <c r="M38" i="27"/>
  <c r="Q31" i="27"/>
  <c r="P31" i="27"/>
  <c r="O31" i="27"/>
  <c r="O32" i="27"/>
  <c r="O33" i="27"/>
  <c r="O34" i="27"/>
  <c r="N31" i="27"/>
  <c r="N32" i="27"/>
  <c r="N33" i="27"/>
  <c r="N34" i="27"/>
  <c r="M31" i="27"/>
  <c r="M32" i="27"/>
  <c r="M33" i="27"/>
  <c r="M34" i="27"/>
  <c r="Q27" i="27"/>
  <c r="I27" i="27"/>
  <c r="P27" i="27"/>
  <c r="R27" i="27" s="1"/>
  <c r="O27" i="27"/>
  <c r="O28" i="27"/>
  <c r="O29" i="27"/>
  <c r="O30" i="27"/>
  <c r="N27" i="27"/>
  <c r="N28" i="27"/>
  <c r="N29" i="27"/>
  <c r="N30" i="27"/>
  <c r="M27" i="27"/>
  <c r="M28" i="27"/>
  <c r="M29" i="27"/>
  <c r="M30" i="27"/>
  <c r="Q23" i="27"/>
  <c r="T23" i="27" s="1"/>
  <c r="I23" i="27"/>
  <c r="P23" i="27"/>
  <c r="O23" i="27"/>
  <c r="O24" i="27"/>
  <c r="O25" i="27"/>
  <c r="O26" i="27"/>
  <c r="N23" i="27"/>
  <c r="N24" i="27"/>
  <c r="N25" i="27"/>
  <c r="N26" i="27"/>
  <c r="M23" i="27"/>
  <c r="M24" i="27"/>
  <c r="M25" i="27"/>
  <c r="M26" i="27"/>
  <c r="Q19" i="27"/>
  <c r="P19" i="27"/>
  <c r="H19" i="27"/>
  <c r="J19" i="27" s="1"/>
  <c r="O19" i="27"/>
  <c r="O20" i="27"/>
  <c r="O21" i="27"/>
  <c r="O22" i="27"/>
  <c r="N19" i="27"/>
  <c r="N20" i="27"/>
  <c r="N21" i="27"/>
  <c r="N22" i="27"/>
  <c r="M19" i="27"/>
  <c r="M20" i="27"/>
  <c r="M21" i="27"/>
  <c r="M22" i="27"/>
  <c r="Q15" i="27"/>
  <c r="P15" i="27"/>
  <c r="R15" i="27" s="1"/>
  <c r="O15" i="27"/>
  <c r="O16" i="27"/>
  <c r="O17" i="27"/>
  <c r="O18" i="27"/>
  <c r="N15" i="27"/>
  <c r="N16" i="27"/>
  <c r="N17" i="27"/>
  <c r="N18" i="27"/>
  <c r="M15" i="27"/>
  <c r="M16" i="27"/>
  <c r="M17" i="27"/>
  <c r="M18" i="27"/>
  <c r="Q11" i="27"/>
  <c r="P11" i="27"/>
  <c r="H11" i="27"/>
  <c r="O11" i="27"/>
  <c r="O12" i="27"/>
  <c r="O13" i="27"/>
  <c r="O14" i="27"/>
  <c r="N11" i="27"/>
  <c r="N12" i="27"/>
  <c r="N13" i="27"/>
  <c r="N14" i="27"/>
  <c r="M11" i="27"/>
  <c r="M12" i="27"/>
  <c r="M13" i="27"/>
  <c r="M14" i="27"/>
  <c r="Q7" i="27"/>
  <c r="I7" i="27"/>
  <c r="P7" i="27"/>
  <c r="R7" i="27" s="1"/>
  <c r="O7" i="27"/>
  <c r="O8" i="27"/>
  <c r="O9" i="27"/>
  <c r="O10" i="27"/>
  <c r="N7" i="27"/>
  <c r="N8" i="27"/>
  <c r="N9" i="27"/>
  <c r="N10" i="27"/>
  <c r="M7" i="27"/>
  <c r="M8" i="27"/>
  <c r="M9" i="27"/>
  <c r="M10" i="27"/>
  <c r="C3" i="30"/>
  <c r="J3" i="30"/>
  <c r="J31" i="30"/>
  <c r="C31" i="30"/>
  <c r="J47" i="25"/>
  <c r="J52" i="25"/>
  <c r="J9" i="20"/>
  <c r="J57" i="20"/>
  <c r="AB4" i="10"/>
  <c r="AB5" i="10"/>
  <c r="AB6" i="10" s="1"/>
  <c r="AB7" i="10" s="1"/>
  <c r="AB8" i="10" s="1"/>
  <c r="AB9" i="10" s="1"/>
  <c r="AB10" i="10" s="1"/>
  <c r="AB11" i="10" s="1"/>
  <c r="AB12" i="10" s="1"/>
  <c r="AB13" i="10" s="1"/>
  <c r="AB14" i="10" s="1"/>
  <c r="AB15" i="10" s="1"/>
  <c r="AB16" i="10" s="1"/>
  <c r="AB17" i="10" s="1"/>
  <c r="AB18" i="10" s="1"/>
  <c r="AB19" i="10" s="1"/>
  <c r="Q58" i="27"/>
  <c r="I58" i="27"/>
  <c r="P58" i="27"/>
  <c r="H58" i="27"/>
  <c r="J58" i="27" s="1"/>
  <c r="L58" i="27"/>
  <c r="G58" i="27"/>
  <c r="F58" i="27"/>
  <c r="E58" i="27"/>
  <c r="D58" i="27"/>
  <c r="Q57" i="27"/>
  <c r="P57" i="27"/>
  <c r="R57" i="27" s="1"/>
  <c r="I57" i="27"/>
  <c r="H57" i="27"/>
  <c r="J57" i="27" s="1"/>
  <c r="L57" i="27"/>
  <c r="G57" i="27"/>
  <c r="F57" i="27"/>
  <c r="E57" i="27"/>
  <c r="D57" i="27"/>
  <c r="Q56" i="27"/>
  <c r="I56" i="27"/>
  <c r="P56" i="27"/>
  <c r="H56" i="27"/>
  <c r="J56" i="27" s="1"/>
  <c r="L56" i="27"/>
  <c r="G56" i="27"/>
  <c r="F56" i="27"/>
  <c r="E56" i="27"/>
  <c r="D56" i="27"/>
  <c r="L55" i="27"/>
  <c r="D55" i="27"/>
  <c r="G55" i="27"/>
  <c r="F55" i="27"/>
  <c r="E55" i="27"/>
  <c r="I55" i="27"/>
  <c r="H55" i="27"/>
  <c r="J55" i="27" s="1"/>
  <c r="Q54" i="27"/>
  <c r="I54" i="27"/>
  <c r="P54" i="27"/>
  <c r="H54" i="27"/>
  <c r="J54" i="27" s="1"/>
  <c r="L54" i="27"/>
  <c r="G54" i="27"/>
  <c r="F54" i="27"/>
  <c r="E54" i="27"/>
  <c r="D54" i="27"/>
  <c r="Q53" i="27"/>
  <c r="I53" i="27"/>
  <c r="P53" i="27"/>
  <c r="R53" i="27" s="1"/>
  <c r="H53" i="27"/>
  <c r="J53" i="27" s="1"/>
  <c r="L53" i="27"/>
  <c r="G53" i="27"/>
  <c r="F53" i="27"/>
  <c r="E53" i="27"/>
  <c r="D53" i="27"/>
  <c r="Q52" i="27"/>
  <c r="P52" i="27"/>
  <c r="I52" i="27"/>
  <c r="H52" i="27"/>
  <c r="J52" i="27"/>
  <c r="H51" i="27"/>
  <c r="J51" i="27" s="1"/>
  <c r="L52" i="27"/>
  <c r="G52" i="27"/>
  <c r="F52" i="27"/>
  <c r="E52" i="27"/>
  <c r="D52" i="27"/>
  <c r="L51" i="27"/>
  <c r="D51" i="27"/>
  <c r="G51" i="27"/>
  <c r="F51" i="27"/>
  <c r="E51" i="27"/>
  <c r="I51" i="27"/>
  <c r="Q50" i="27"/>
  <c r="I50" i="27"/>
  <c r="P50" i="27"/>
  <c r="R50" i="27" s="1"/>
  <c r="H50" i="27"/>
  <c r="J50" i="27" s="1"/>
  <c r="L50" i="27"/>
  <c r="G50" i="27"/>
  <c r="F50" i="27"/>
  <c r="E50" i="27"/>
  <c r="D50" i="27"/>
  <c r="Q49" i="27"/>
  <c r="I49" i="27"/>
  <c r="P49" i="27"/>
  <c r="R49" i="27" s="1"/>
  <c r="H49" i="27"/>
  <c r="J49" i="27" s="1"/>
  <c r="L49" i="27"/>
  <c r="G49" i="27"/>
  <c r="F49" i="27"/>
  <c r="E49" i="27"/>
  <c r="D49" i="27"/>
  <c r="Q48" i="27"/>
  <c r="P48" i="27"/>
  <c r="S48" i="27" s="1"/>
  <c r="I48" i="27"/>
  <c r="H48" i="27"/>
  <c r="L48" i="27"/>
  <c r="G48" i="27"/>
  <c r="F48" i="27"/>
  <c r="E48" i="27"/>
  <c r="D48" i="27"/>
  <c r="L47" i="27"/>
  <c r="D47" i="27"/>
  <c r="G47" i="27"/>
  <c r="F47" i="27"/>
  <c r="E47" i="27"/>
  <c r="H47" i="27"/>
  <c r="J47" i="27" s="1"/>
  <c r="Q46" i="27"/>
  <c r="I46" i="27"/>
  <c r="P46" i="27"/>
  <c r="H46" i="27"/>
  <c r="J46" i="27" s="1"/>
  <c r="L46" i="27"/>
  <c r="G46" i="27"/>
  <c r="F46" i="27"/>
  <c r="E46" i="27"/>
  <c r="D46" i="27"/>
  <c r="Q45" i="27"/>
  <c r="I45" i="27"/>
  <c r="P45" i="27"/>
  <c r="R45" i="27" s="1"/>
  <c r="H45" i="27"/>
  <c r="J45" i="27" s="1"/>
  <c r="L45" i="27"/>
  <c r="G45" i="27"/>
  <c r="F45" i="27"/>
  <c r="E45" i="27"/>
  <c r="D45" i="27"/>
  <c r="Q44" i="27"/>
  <c r="I44" i="27"/>
  <c r="P44" i="27"/>
  <c r="H44" i="27"/>
  <c r="J44" i="27" s="1"/>
  <c r="L44" i="27"/>
  <c r="G44" i="27"/>
  <c r="F44" i="27"/>
  <c r="E44" i="27"/>
  <c r="D44" i="27"/>
  <c r="L43" i="27"/>
  <c r="D43" i="27"/>
  <c r="G43" i="27"/>
  <c r="F43" i="27"/>
  <c r="E43" i="27"/>
  <c r="H43" i="27"/>
  <c r="J43" i="27" s="1"/>
  <c r="Q42" i="27"/>
  <c r="P42" i="27"/>
  <c r="R42" i="27" s="1"/>
  <c r="I42" i="27"/>
  <c r="H42" i="27"/>
  <c r="J42" i="27"/>
  <c r="L42" i="27"/>
  <c r="G42" i="27"/>
  <c r="F42" i="27"/>
  <c r="E42" i="27"/>
  <c r="D42" i="27"/>
  <c r="Q41" i="27"/>
  <c r="I41" i="27"/>
  <c r="P41" i="27"/>
  <c r="H41" i="27"/>
  <c r="J41" i="27" s="1"/>
  <c r="L41" i="27"/>
  <c r="G41" i="27"/>
  <c r="F41" i="27"/>
  <c r="E41" i="27"/>
  <c r="D41" i="27"/>
  <c r="Q40" i="27"/>
  <c r="I40" i="27"/>
  <c r="P40" i="27"/>
  <c r="H40" i="27"/>
  <c r="J40" i="27" s="1"/>
  <c r="L40" i="27"/>
  <c r="G40" i="27"/>
  <c r="F40" i="27"/>
  <c r="E40" i="27"/>
  <c r="D40" i="27"/>
  <c r="L39" i="27"/>
  <c r="D39" i="27"/>
  <c r="G39" i="27"/>
  <c r="F39" i="27"/>
  <c r="E39" i="27"/>
  <c r="H39" i="27"/>
  <c r="J39" i="27" s="1"/>
  <c r="Q38" i="27"/>
  <c r="T38" i="27" s="1"/>
  <c r="P38" i="27"/>
  <c r="R38" i="27" s="1"/>
  <c r="I38" i="27"/>
  <c r="H38" i="27"/>
  <c r="J38" i="27" s="1"/>
  <c r="L38" i="27"/>
  <c r="G38" i="27"/>
  <c r="F38" i="27"/>
  <c r="E38" i="27"/>
  <c r="D38" i="27"/>
  <c r="Q37" i="27"/>
  <c r="I37" i="27"/>
  <c r="P37" i="27"/>
  <c r="H37" i="27"/>
  <c r="J37" i="27" s="1"/>
  <c r="L37" i="27"/>
  <c r="G37" i="27"/>
  <c r="F37" i="27"/>
  <c r="E37" i="27"/>
  <c r="D37" i="27"/>
  <c r="Q36" i="27"/>
  <c r="T36" i="27" s="1"/>
  <c r="P36" i="27"/>
  <c r="H36" i="27"/>
  <c r="I36" i="27"/>
  <c r="J36" i="27"/>
  <c r="L36" i="27"/>
  <c r="G36" i="27"/>
  <c r="F36" i="27"/>
  <c r="E36" i="27"/>
  <c r="D36" i="27"/>
  <c r="L35" i="27"/>
  <c r="D35" i="27"/>
  <c r="G35" i="27"/>
  <c r="F35" i="27"/>
  <c r="E35" i="27"/>
  <c r="H35" i="27"/>
  <c r="J35" i="27" s="1"/>
  <c r="Q34" i="27"/>
  <c r="I34" i="27"/>
  <c r="P34" i="27"/>
  <c r="H34" i="27"/>
  <c r="J34" i="27"/>
  <c r="L34" i="27"/>
  <c r="G34" i="27"/>
  <c r="F34" i="27"/>
  <c r="E34" i="27"/>
  <c r="D34" i="27"/>
  <c r="Q33" i="27"/>
  <c r="I33" i="27"/>
  <c r="P33" i="27"/>
  <c r="H33" i="27"/>
  <c r="L33" i="27"/>
  <c r="G33" i="27"/>
  <c r="F33" i="27"/>
  <c r="E33" i="27"/>
  <c r="D33" i="27"/>
  <c r="Q32" i="27"/>
  <c r="I32" i="27"/>
  <c r="P32" i="27"/>
  <c r="H32" i="27"/>
  <c r="J32" i="27" s="1"/>
  <c r="L32" i="27"/>
  <c r="G32" i="27"/>
  <c r="F32" i="27"/>
  <c r="E32" i="27"/>
  <c r="D32" i="27"/>
  <c r="L31" i="27"/>
  <c r="D31" i="27"/>
  <c r="G31" i="27"/>
  <c r="F31" i="27"/>
  <c r="E31" i="27"/>
  <c r="I31" i="27"/>
  <c r="T31" i="27" s="1"/>
  <c r="H31" i="27"/>
  <c r="J31" i="27" s="1"/>
  <c r="Q30" i="27"/>
  <c r="I30" i="27"/>
  <c r="P30" i="27"/>
  <c r="R30" i="27" s="1"/>
  <c r="H30" i="27"/>
  <c r="J30" i="27" s="1"/>
  <c r="L30" i="27"/>
  <c r="G30" i="27"/>
  <c r="F30" i="27"/>
  <c r="E30" i="27"/>
  <c r="D30" i="27"/>
  <c r="Q29" i="27"/>
  <c r="I29" i="27"/>
  <c r="P29" i="27"/>
  <c r="R29" i="27" s="1"/>
  <c r="H29" i="27"/>
  <c r="L29" i="27"/>
  <c r="G29" i="27"/>
  <c r="F29" i="27"/>
  <c r="E29" i="27"/>
  <c r="D29" i="27"/>
  <c r="Q28" i="27"/>
  <c r="P28" i="27"/>
  <c r="I28" i="27"/>
  <c r="H28" i="27"/>
  <c r="J28" i="27" s="1"/>
  <c r="L28" i="27"/>
  <c r="G28" i="27"/>
  <c r="F28" i="27"/>
  <c r="E28" i="27"/>
  <c r="D28" i="27"/>
  <c r="L27" i="27"/>
  <c r="D27" i="27"/>
  <c r="G27" i="27"/>
  <c r="F27" i="27"/>
  <c r="E27" i="27"/>
  <c r="H27" i="27"/>
  <c r="J27" i="27" s="1"/>
  <c r="Q26" i="27"/>
  <c r="P26" i="27"/>
  <c r="H26" i="27"/>
  <c r="J26" i="27" s="1"/>
  <c r="I26" i="27"/>
  <c r="L26" i="27"/>
  <c r="G26" i="27"/>
  <c r="F26" i="27"/>
  <c r="E26" i="27"/>
  <c r="D26" i="27"/>
  <c r="Q25" i="27"/>
  <c r="T25" i="27" s="1"/>
  <c r="I25" i="27"/>
  <c r="P25" i="27"/>
  <c r="R25" i="27" s="1"/>
  <c r="H25" i="27"/>
  <c r="J25" i="27" s="1"/>
  <c r="L25" i="27"/>
  <c r="G25" i="27"/>
  <c r="F25" i="27"/>
  <c r="E25" i="27"/>
  <c r="D25" i="27"/>
  <c r="Q24" i="27"/>
  <c r="I24" i="27"/>
  <c r="P24" i="27"/>
  <c r="H24" i="27"/>
  <c r="J24" i="27" s="1"/>
  <c r="L24" i="27"/>
  <c r="G24" i="27"/>
  <c r="F24" i="27"/>
  <c r="E24" i="27"/>
  <c r="D24" i="27"/>
  <c r="L23" i="27"/>
  <c r="D23" i="27"/>
  <c r="G23" i="27"/>
  <c r="F23" i="27"/>
  <c r="E23" i="27"/>
  <c r="H23" i="27"/>
  <c r="J23" i="27" s="1"/>
  <c r="Q22" i="27"/>
  <c r="P22" i="27"/>
  <c r="R22" i="27" s="1"/>
  <c r="I22" i="27"/>
  <c r="I19" i="27"/>
  <c r="I20" i="27"/>
  <c r="I21" i="27"/>
  <c r="H22" i="27"/>
  <c r="J22" i="27" s="1"/>
  <c r="L22" i="27"/>
  <c r="G22" i="27"/>
  <c r="F22" i="27"/>
  <c r="E22" i="27"/>
  <c r="D22" i="27"/>
  <c r="Q21" i="27"/>
  <c r="P21" i="27"/>
  <c r="H21" i="27"/>
  <c r="J21" i="27" s="1"/>
  <c r="L21" i="27"/>
  <c r="G21" i="27"/>
  <c r="F21" i="27"/>
  <c r="E21" i="27"/>
  <c r="D21" i="27"/>
  <c r="Q20" i="27"/>
  <c r="P20" i="27"/>
  <c r="R20" i="27" s="1"/>
  <c r="H20" i="27"/>
  <c r="J20" i="27" s="1"/>
  <c r="L20" i="27"/>
  <c r="G20" i="27"/>
  <c r="F20" i="27"/>
  <c r="E20" i="27"/>
  <c r="D20" i="27"/>
  <c r="L19" i="27"/>
  <c r="D19" i="27"/>
  <c r="G19" i="27"/>
  <c r="F19" i="27"/>
  <c r="E19" i="27"/>
  <c r="Q18" i="27"/>
  <c r="I18" i="27"/>
  <c r="P18" i="27"/>
  <c r="H18" i="27"/>
  <c r="J18" i="27" s="1"/>
  <c r="L18" i="27"/>
  <c r="G18" i="27"/>
  <c r="F18" i="27"/>
  <c r="E18" i="27"/>
  <c r="D18" i="27"/>
  <c r="Q17" i="27"/>
  <c r="I17" i="27"/>
  <c r="P17" i="27"/>
  <c r="H17" i="27"/>
  <c r="J17" i="27" s="1"/>
  <c r="L17" i="27"/>
  <c r="G17" i="27"/>
  <c r="F17" i="27"/>
  <c r="E17" i="27"/>
  <c r="D17" i="27"/>
  <c r="Q16" i="27"/>
  <c r="I16" i="27"/>
  <c r="P16" i="27"/>
  <c r="H16" i="27"/>
  <c r="J16" i="27" s="1"/>
  <c r="L16" i="27"/>
  <c r="G16" i="27"/>
  <c r="F16" i="27"/>
  <c r="E16" i="27"/>
  <c r="D16" i="27"/>
  <c r="L15" i="27"/>
  <c r="D15" i="27"/>
  <c r="G15" i="27"/>
  <c r="F15" i="27"/>
  <c r="E15" i="27"/>
  <c r="I15" i="27"/>
  <c r="H15" i="27"/>
  <c r="J15" i="27" s="1"/>
  <c r="D3" i="27"/>
  <c r="E3" i="27"/>
  <c r="F3" i="27"/>
  <c r="G3" i="27"/>
  <c r="L3" i="27"/>
  <c r="L6" i="27"/>
  <c r="L5" i="27"/>
  <c r="L4" i="27"/>
  <c r="L10" i="27"/>
  <c r="L9" i="27"/>
  <c r="L8" i="27"/>
  <c r="L7" i="27"/>
  <c r="L14" i="27"/>
  <c r="L13" i="27"/>
  <c r="L12" i="27"/>
  <c r="L11" i="27"/>
  <c r="Q4" i="27"/>
  <c r="Q5" i="27"/>
  <c r="Q6" i="27"/>
  <c r="Q8" i="27"/>
  <c r="Q9" i="27"/>
  <c r="Q10" i="27"/>
  <c r="I10" i="27"/>
  <c r="Q12" i="27"/>
  <c r="Q13" i="27"/>
  <c r="I13" i="27"/>
  <c r="Q14" i="27"/>
  <c r="P4" i="27"/>
  <c r="H4" i="27"/>
  <c r="P5" i="27"/>
  <c r="R5" i="27" s="1"/>
  <c r="P6" i="27"/>
  <c r="R6" i="27" s="1"/>
  <c r="P8" i="27"/>
  <c r="R8" i="27" s="1"/>
  <c r="P9" i="27"/>
  <c r="R9" i="27" s="1"/>
  <c r="P10" i="27"/>
  <c r="R10" i="27" s="1"/>
  <c r="P12" i="27"/>
  <c r="P13" i="27"/>
  <c r="P14" i="27"/>
  <c r="R14" i="27" s="1"/>
  <c r="D6" i="27"/>
  <c r="D5" i="27"/>
  <c r="D4" i="27"/>
  <c r="F4" i="27"/>
  <c r="F5" i="27"/>
  <c r="F6" i="27"/>
  <c r="D10" i="27"/>
  <c r="D9" i="27"/>
  <c r="D8" i="27"/>
  <c r="D7" i="27"/>
  <c r="F7" i="27"/>
  <c r="F8" i="27"/>
  <c r="F9" i="27"/>
  <c r="F10" i="27"/>
  <c r="D14" i="27"/>
  <c r="D13" i="27"/>
  <c r="D12" i="27"/>
  <c r="D11" i="27"/>
  <c r="F11" i="27"/>
  <c r="F12" i="27"/>
  <c r="F13" i="27"/>
  <c r="F14" i="27"/>
  <c r="G4" i="27"/>
  <c r="G5" i="27"/>
  <c r="G6" i="27"/>
  <c r="G7" i="27"/>
  <c r="G8" i="27"/>
  <c r="G9" i="27"/>
  <c r="G10" i="27"/>
  <c r="G11" i="27"/>
  <c r="G12" i="27"/>
  <c r="G13" i="27"/>
  <c r="G14" i="27"/>
  <c r="E4" i="27"/>
  <c r="E5" i="27"/>
  <c r="E6" i="27"/>
  <c r="E7" i="27"/>
  <c r="E8" i="27"/>
  <c r="E9" i="27"/>
  <c r="E10" i="27"/>
  <c r="E11" i="27"/>
  <c r="E12" i="27"/>
  <c r="E13" i="27"/>
  <c r="E14" i="27"/>
  <c r="J4" i="27"/>
  <c r="H5" i="27"/>
  <c r="J5" i="27" s="1"/>
  <c r="H6" i="27"/>
  <c r="J6" i="27" s="1"/>
  <c r="H7" i="27"/>
  <c r="J7" i="27" s="1"/>
  <c r="H8" i="27"/>
  <c r="J8" i="27" s="1"/>
  <c r="H9" i="27"/>
  <c r="J9" i="27" s="1"/>
  <c r="H10" i="27"/>
  <c r="J10" i="27" s="1"/>
  <c r="J11" i="27"/>
  <c r="H12" i="27"/>
  <c r="J12" i="27" s="1"/>
  <c r="H13" i="27"/>
  <c r="J13" i="27" s="1"/>
  <c r="H14" i="27"/>
  <c r="J14" i="27" s="1"/>
  <c r="I4" i="27"/>
  <c r="I5" i="27"/>
  <c r="I6" i="27"/>
  <c r="I8" i="27"/>
  <c r="I9" i="27"/>
  <c r="I11" i="27"/>
  <c r="I12" i="27"/>
  <c r="I14" i="27"/>
  <c r="C33" i="9"/>
  <c r="C23" i="9"/>
  <c r="AD8" i="10"/>
  <c r="J53" i="20"/>
  <c r="J44" i="25"/>
  <c r="J33" i="27"/>
  <c r="J20" i="25"/>
  <c r="J12" i="25"/>
  <c r="J24" i="25"/>
  <c r="J8" i="25"/>
  <c r="J36" i="25"/>
  <c r="J50" i="20"/>
  <c r="J45" i="20"/>
  <c r="J48" i="25"/>
  <c r="T73" i="29"/>
  <c r="J3" i="29"/>
  <c r="J25" i="25"/>
  <c r="J63" i="20"/>
  <c r="J37" i="25"/>
  <c r="S44" i="25"/>
  <c r="J30" i="25"/>
  <c r="J13" i="20"/>
  <c r="J59" i="25"/>
  <c r="J29" i="27"/>
  <c r="S62" i="29"/>
  <c r="S47" i="25"/>
  <c r="J55" i="20"/>
  <c r="J42" i="20"/>
  <c r="J3" i="25"/>
  <c r="J47" i="20"/>
  <c r="S27" i="25"/>
  <c r="R26" i="25"/>
  <c r="S53" i="25"/>
  <c r="R57" i="25"/>
  <c r="S9" i="29"/>
  <c r="T57" i="29"/>
  <c r="J48" i="29"/>
  <c r="R56" i="25"/>
  <c r="T57" i="25"/>
  <c r="S31" i="29"/>
  <c r="M12" i="30" s="1"/>
  <c r="S50" i="29"/>
  <c r="J31" i="29"/>
  <c r="J42" i="29"/>
  <c r="J22" i="25"/>
  <c r="J33" i="25"/>
  <c r="T59" i="29"/>
  <c r="T79" i="29" s="1"/>
  <c r="N28" i="30" s="1"/>
  <c r="J48" i="27"/>
  <c r="J10" i="25"/>
  <c r="J61" i="29"/>
  <c r="J4" i="25"/>
  <c r="T34" i="25"/>
  <c r="T6" i="20"/>
  <c r="R25" i="29"/>
  <c r="S29" i="25"/>
  <c r="R15" i="20"/>
  <c r="Y43" i="27"/>
  <c r="AA51" i="25"/>
  <c r="AA35" i="29"/>
  <c r="X43" i="27"/>
  <c r="X63" i="20"/>
  <c r="V59" i="27"/>
  <c r="X67" i="20"/>
  <c r="Y31" i="29"/>
  <c r="V51" i="27"/>
  <c r="V71" i="25"/>
  <c r="W47" i="27"/>
  <c r="X71" i="20"/>
  <c r="X51" i="29"/>
  <c r="W55" i="25"/>
  <c r="W3" i="27"/>
  <c r="AA63" i="25"/>
  <c r="AA31" i="27"/>
  <c r="X3" i="27"/>
  <c r="Y71" i="27"/>
  <c r="Z11" i="27"/>
  <c r="Y35" i="25"/>
  <c r="AA19" i="27"/>
  <c r="V35" i="29"/>
  <c r="V35" i="25"/>
  <c r="V31" i="27"/>
  <c r="AA67" i="29"/>
  <c r="Z7" i="25"/>
  <c r="W19" i="27"/>
  <c r="AA31" i="29"/>
  <c r="Y23" i="27"/>
  <c r="AA55" i="27"/>
  <c r="V3" i="25"/>
  <c r="Y27" i="29"/>
  <c r="V15" i="25"/>
  <c r="Y27" i="27"/>
  <c r="Y15" i="29"/>
  <c r="W27" i="29"/>
  <c r="Y35" i="29"/>
  <c r="Y39" i="29"/>
  <c r="W35" i="27"/>
  <c r="Y23" i="29"/>
  <c r="W67" i="20"/>
  <c r="W7" i="29"/>
  <c r="AA59" i="25"/>
  <c r="X59" i="29"/>
  <c r="Y67" i="29"/>
  <c r="Y71" i="20"/>
  <c r="Y43" i="25"/>
  <c r="V27" i="27"/>
  <c r="Z23" i="25"/>
  <c r="W47" i="25"/>
  <c r="V19" i="27"/>
  <c r="X55" i="25"/>
  <c r="Y31" i="25"/>
  <c r="Z19" i="27"/>
  <c r="V39" i="25"/>
  <c r="W7" i="27"/>
  <c r="V11" i="29"/>
  <c r="W47" i="29"/>
  <c r="W39" i="29"/>
  <c r="AA27" i="27"/>
  <c r="Z51" i="27"/>
  <c r="W3" i="25"/>
  <c r="W67" i="29"/>
  <c r="X47" i="27"/>
  <c r="X3" i="29"/>
  <c r="X51" i="25"/>
  <c r="W43" i="27"/>
  <c r="V23" i="29"/>
  <c r="X15" i="29"/>
  <c r="Y19" i="27"/>
  <c r="AA39" i="27"/>
  <c r="AA11" i="25"/>
  <c r="X7" i="25"/>
  <c r="V47" i="25"/>
  <c r="W3" i="29"/>
  <c r="V55" i="25"/>
  <c r="Z39" i="25"/>
  <c r="AA59" i="27"/>
  <c r="V3" i="27"/>
  <c r="X63" i="27"/>
  <c r="AA55" i="29"/>
  <c r="X27" i="29"/>
  <c r="AA39" i="25"/>
  <c r="W39" i="25"/>
  <c r="Z63" i="25"/>
  <c r="V59" i="20"/>
  <c r="W59" i="20"/>
  <c r="V3" i="29"/>
  <c r="Z35" i="29"/>
  <c r="Z39" i="27"/>
  <c r="Z59" i="20"/>
  <c r="X31" i="27"/>
  <c r="Z43" i="29"/>
  <c r="Y23" i="25"/>
  <c r="W39" i="27"/>
  <c r="Y55" i="20"/>
  <c r="V51" i="25"/>
  <c r="Y71" i="25"/>
  <c r="W19" i="29"/>
  <c r="AA3" i="27"/>
  <c r="Z27" i="29"/>
  <c r="V11" i="27"/>
  <c r="X55" i="27"/>
  <c r="Z27" i="27"/>
  <c r="Z43" i="25"/>
  <c r="Z15" i="27"/>
  <c r="X71" i="29"/>
  <c r="AA47" i="27"/>
  <c r="Y35" i="27"/>
  <c r="X47" i="29"/>
  <c r="Z31" i="29"/>
  <c r="Z67" i="27"/>
  <c r="W59" i="25"/>
  <c r="V39" i="29"/>
  <c r="X59" i="20"/>
  <c r="Z19" i="25"/>
  <c r="Z23" i="27"/>
  <c r="X35" i="27"/>
  <c r="Z19" i="29"/>
  <c r="X19" i="25"/>
  <c r="V67" i="20"/>
  <c r="Y39" i="27"/>
  <c r="W43" i="29"/>
  <c r="AA43" i="29"/>
  <c r="Z67" i="20"/>
  <c r="X63" i="29"/>
  <c r="Z59" i="25"/>
  <c r="V11" i="25"/>
  <c r="W11" i="27"/>
  <c r="Z71" i="25"/>
  <c r="V15" i="29"/>
  <c r="Z71" i="27"/>
  <c r="X51" i="27"/>
  <c r="Y19" i="29"/>
  <c r="W71" i="27"/>
  <c r="W31" i="29"/>
  <c r="X71" i="25"/>
  <c r="V23" i="27"/>
  <c r="X67" i="29"/>
  <c r="AA27" i="25"/>
  <c r="Y11" i="27"/>
  <c r="AA59" i="29"/>
  <c r="X59" i="27"/>
  <c r="AA47" i="29"/>
  <c r="Z7" i="29"/>
  <c r="AA35" i="27"/>
  <c r="Z3" i="29"/>
  <c r="AA63" i="27"/>
  <c r="V55" i="29"/>
  <c r="W15" i="29"/>
  <c r="W7" i="25"/>
  <c r="V59" i="29"/>
  <c r="Y7" i="25"/>
  <c r="X71" i="27"/>
  <c r="W55" i="27"/>
  <c r="Y39" i="25"/>
  <c r="V71" i="29"/>
  <c r="Y63" i="25"/>
  <c r="V39" i="27"/>
  <c r="Y67" i="25"/>
  <c r="W51" i="27"/>
  <c r="X67" i="27"/>
  <c r="Y31" i="27"/>
  <c r="W59" i="29"/>
  <c r="Z15" i="29"/>
  <c r="V55" i="20"/>
  <c r="Y55" i="25"/>
  <c r="Y3" i="25"/>
  <c r="W63" i="27"/>
  <c r="V67" i="25"/>
  <c r="Y71" i="29"/>
  <c r="W55" i="20"/>
  <c r="Z27" i="25"/>
  <c r="Z3" i="25"/>
  <c r="AA23" i="25"/>
  <c r="X23" i="25"/>
  <c r="Z43" i="27"/>
  <c r="Z55" i="20"/>
  <c r="AA71" i="27"/>
  <c r="AA15" i="29"/>
  <c r="X55" i="29"/>
  <c r="W27" i="27"/>
  <c r="X27" i="27"/>
  <c r="AA19" i="29"/>
  <c r="Z39" i="29"/>
  <c r="Z23" i="29"/>
  <c r="Z11" i="29"/>
  <c r="X23" i="27"/>
  <c r="Z55" i="27"/>
  <c r="V43" i="29"/>
  <c r="Y15" i="27"/>
  <c r="AA71" i="25"/>
  <c r="AA39" i="29"/>
  <c r="W51" i="29"/>
  <c r="Z63" i="27"/>
  <c r="AA7" i="27"/>
  <c r="W51" i="25"/>
  <c r="X7" i="29"/>
  <c r="X31" i="29"/>
  <c r="Z15" i="25"/>
  <c r="X35" i="25"/>
  <c r="V63" i="25"/>
  <c r="Z71" i="29"/>
  <c r="AA63" i="20"/>
  <c r="X7" i="27"/>
  <c r="W67" i="27"/>
  <c r="Z67" i="29"/>
  <c r="Z31" i="27"/>
  <c r="V31" i="29"/>
  <c r="Z51" i="25"/>
  <c r="Z63" i="29"/>
  <c r="Y47" i="27"/>
  <c r="AA71" i="20"/>
  <c r="W63" i="25"/>
  <c r="AA59" i="20"/>
  <c r="W43" i="25"/>
  <c r="X11" i="25"/>
  <c r="Y59" i="25"/>
  <c r="Z35" i="25"/>
  <c r="X23" i="29"/>
  <c r="W27" i="25"/>
  <c r="AA3" i="25"/>
  <c r="X31" i="25"/>
  <c r="Z35" i="27"/>
  <c r="AA15" i="25"/>
  <c r="Y59" i="20"/>
  <c r="W59" i="27"/>
  <c r="Z47" i="25"/>
  <c r="V19" i="25"/>
  <c r="Y43" i="29"/>
  <c r="Y15" i="25"/>
  <c r="W11" i="25"/>
  <c r="V47" i="29"/>
  <c r="Y47" i="29"/>
  <c r="V63" i="20"/>
  <c r="W71" i="29"/>
  <c r="AA51" i="27"/>
  <c r="Y63" i="29"/>
  <c r="AA7" i="25"/>
  <c r="V15" i="27"/>
  <c r="Z71" i="20"/>
  <c r="Z47" i="29"/>
  <c r="Z51" i="29"/>
  <c r="V31" i="25"/>
  <c r="V71" i="27"/>
  <c r="V67" i="29"/>
  <c r="AA23" i="27"/>
  <c r="V27" i="29"/>
  <c r="W35" i="25"/>
  <c r="AA43" i="25"/>
  <c r="X19" i="27"/>
  <c r="W19" i="25"/>
  <c r="Y51" i="27"/>
  <c r="Y7" i="27"/>
  <c r="Y59" i="29"/>
  <c r="V51" i="29"/>
  <c r="AA3" i="29"/>
  <c r="Y67" i="27"/>
  <c r="Y47" i="25"/>
  <c r="Y59" i="27"/>
  <c r="AA15" i="27"/>
  <c r="W15" i="27"/>
  <c r="V7" i="27"/>
  <c r="Y51" i="29"/>
  <c r="AA47" i="25"/>
  <c r="Y51" i="25"/>
  <c r="Y55" i="27"/>
  <c r="X15" i="27"/>
  <c r="AA27" i="29"/>
  <c r="Y63" i="20"/>
  <c r="W23" i="29"/>
  <c r="V43" i="25"/>
  <c r="W71" i="20"/>
  <c r="Y67" i="20"/>
  <c r="V7" i="25"/>
  <c r="X39" i="25"/>
  <c r="Z67" i="25"/>
  <c r="AA7" i="29"/>
  <c r="X11" i="27"/>
  <c r="X11" i="29"/>
  <c r="Z55" i="29"/>
  <c r="AA71" i="29"/>
  <c r="W55" i="29"/>
  <c r="AA11" i="29"/>
  <c r="Y27" i="25"/>
  <c r="W23" i="25"/>
  <c r="W63" i="29"/>
  <c r="Z63" i="20"/>
  <c r="Z31" i="25"/>
  <c r="X43" i="25"/>
  <c r="V43" i="27"/>
  <c r="AA55" i="20"/>
  <c r="X19" i="29"/>
  <c r="V71" i="20"/>
  <c r="X67" i="25"/>
  <c r="AA63" i="29"/>
  <c r="X15" i="25"/>
  <c r="X27" i="25"/>
  <c r="V27" i="25"/>
  <c r="Z59" i="27"/>
  <c r="W11" i="29"/>
  <c r="AA19" i="25"/>
  <c r="X59" i="25"/>
  <c r="X39" i="29"/>
  <c r="W63" i="20"/>
  <c r="W35" i="29"/>
  <c r="W67" i="25"/>
  <c r="AA23" i="29"/>
  <c r="AA43" i="27"/>
  <c r="Y55" i="29"/>
  <c r="Y19" i="25"/>
  <c r="Z3" i="27"/>
  <c r="V55" i="27"/>
  <c r="W31" i="27"/>
  <c r="W15" i="25"/>
  <c r="X55" i="20"/>
  <c r="Y63" i="27"/>
  <c r="X35" i="29"/>
  <c r="AA67" i="27"/>
  <c r="W31" i="25"/>
  <c r="V63" i="27"/>
  <c r="Z55" i="25"/>
  <c r="V35" i="27"/>
  <c r="V7" i="29"/>
  <c r="X3" i="25"/>
  <c r="X43" i="29"/>
  <c r="Y11" i="25"/>
  <c r="V47" i="27"/>
  <c r="V67" i="27"/>
  <c r="Y3" i="27"/>
  <c r="AA31" i="25"/>
  <c r="V59" i="25"/>
  <c r="Y3" i="29"/>
  <c r="AA67" i="25"/>
  <c r="Y11" i="29"/>
  <c r="X63" i="25"/>
  <c r="W71" i="25"/>
  <c r="Z59" i="29"/>
  <c r="X47" i="25"/>
  <c r="Z11" i="25"/>
  <c r="Z47" i="27"/>
  <c r="AA55" i="25"/>
  <c r="W23" i="27"/>
  <c r="AA11" i="27"/>
  <c r="V63" i="29"/>
  <c r="V19" i="29"/>
  <c r="Y7" i="29"/>
  <c r="V23" i="25"/>
  <c r="X39" i="27"/>
  <c r="AA67" i="20"/>
  <c r="Z7" i="27"/>
  <c r="AA35" i="25"/>
  <c r="AA51" i="29"/>
  <c r="Z51" i="20"/>
  <c r="V39" i="20"/>
  <c r="V19" i="20"/>
  <c r="W15" i="20"/>
  <c r="Z47" i="20"/>
  <c r="AA27" i="20"/>
  <c r="Y51" i="20"/>
  <c r="Z15" i="20"/>
  <c r="X31" i="20"/>
  <c r="Y11" i="20"/>
  <c r="X35" i="20"/>
  <c r="Z19" i="20"/>
  <c r="W3" i="20"/>
  <c r="Z39" i="20"/>
  <c r="X39" i="20"/>
  <c r="X43" i="20"/>
  <c r="AA51" i="20"/>
  <c r="Z31" i="20"/>
  <c r="Z3" i="20"/>
  <c r="Y19" i="20"/>
  <c r="Y27" i="20"/>
  <c r="W47" i="20"/>
  <c r="Z7" i="20"/>
  <c r="W27" i="20"/>
  <c r="V11" i="20"/>
  <c r="V7" i="20"/>
  <c r="X7" i="20"/>
  <c r="V47" i="20"/>
  <c r="W31" i="20"/>
  <c r="W35" i="20"/>
  <c r="AA23" i="20"/>
  <c r="AA47" i="20"/>
  <c r="Y43" i="20"/>
  <c r="W51" i="20"/>
  <c r="X15" i="20"/>
  <c r="W43" i="20"/>
  <c r="AA11" i="20"/>
  <c r="Y15" i="20"/>
  <c r="X47" i="20"/>
  <c r="X23" i="20"/>
  <c r="AA3" i="20"/>
  <c r="X19" i="20"/>
  <c r="Z27" i="20"/>
  <c r="Y23" i="20"/>
  <c r="V15" i="20"/>
  <c r="Y39" i="20"/>
  <c r="W7" i="20"/>
  <c r="Y3" i="20"/>
  <c r="AA15" i="20"/>
  <c r="AA39" i="20"/>
  <c r="V35" i="20"/>
  <c r="AA19" i="20"/>
  <c r="Z23" i="20"/>
  <c r="W11" i="20"/>
  <c r="Z35" i="20"/>
  <c r="W23" i="20"/>
  <c r="X3" i="20"/>
  <c r="Y7" i="20"/>
  <c r="V27" i="20"/>
  <c r="Z43" i="20"/>
  <c r="W19" i="20"/>
  <c r="X11" i="20"/>
  <c r="W39" i="20"/>
  <c r="V31" i="20"/>
  <c r="V51" i="20"/>
  <c r="AA43" i="20"/>
  <c r="Z11" i="20"/>
  <c r="Y47" i="20"/>
  <c r="AA7" i="20"/>
  <c r="AA35" i="20"/>
  <c r="V23" i="20"/>
  <c r="V43" i="20"/>
  <c r="Y31" i="20"/>
  <c r="V3" i="20"/>
  <c r="X27" i="20"/>
  <c r="Y35" i="20"/>
  <c r="X51" i="20"/>
  <c r="AA31" i="20"/>
  <c r="S7" i="20" l="1"/>
  <c r="T69" i="29"/>
  <c r="T66" i="20"/>
  <c r="T14" i="29"/>
  <c r="T41" i="25"/>
  <c r="S8" i="25"/>
  <c r="T53" i="29"/>
  <c r="S23" i="29"/>
  <c r="M10" i="30" s="1"/>
  <c r="S21" i="29"/>
  <c r="T41" i="27"/>
  <c r="T44" i="25"/>
  <c r="S25" i="25"/>
  <c r="T57" i="20"/>
  <c r="T29" i="20"/>
  <c r="T49" i="25"/>
  <c r="T5" i="29"/>
  <c r="T72" i="29"/>
  <c r="T17" i="27"/>
  <c r="T40" i="27"/>
  <c r="I78" i="20"/>
  <c r="S59" i="25"/>
  <c r="S5" i="29"/>
  <c r="S57" i="20"/>
  <c r="T36" i="29"/>
  <c r="S29" i="29"/>
  <c r="T74" i="29"/>
  <c r="I81" i="29"/>
  <c r="T63" i="29"/>
  <c r="N20" i="30" s="1"/>
  <c r="T52" i="20"/>
  <c r="S63" i="20"/>
  <c r="S39" i="29"/>
  <c r="M14" i="30" s="1"/>
  <c r="T56" i="27"/>
  <c r="T27" i="27"/>
  <c r="T73" i="27"/>
  <c r="T54" i="20"/>
  <c r="T61" i="20"/>
  <c r="T72" i="25"/>
  <c r="S6" i="20"/>
  <c r="S30" i="27"/>
  <c r="S10" i="25"/>
  <c r="T43" i="25"/>
  <c r="T3" i="25"/>
  <c r="T39" i="25"/>
  <c r="S47" i="20"/>
  <c r="T65" i="27"/>
  <c r="R54" i="29"/>
  <c r="T21" i="27"/>
  <c r="S37" i="20"/>
  <c r="T10" i="29"/>
  <c r="T32" i="25"/>
  <c r="T26" i="27"/>
  <c r="T33" i="27"/>
  <c r="T28" i="27"/>
  <c r="T10" i="27"/>
  <c r="T8" i="27"/>
  <c r="T43" i="27"/>
  <c r="T34" i="27"/>
  <c r="T45" i="27"/>
  <c r="S28" i="25"/>
  <c r="S15" i="25"/>
  <c r="T6" i="25"/>
  <c r="S18" i="25"/>
  <c r="S42" i="25"/>
  <c r="T33" i="25"/>
  <c r="S50" i="25"/>
  <c r="T38" i="25"/>
  <c r="T31" i="25"/>
  <c r="T19" i="25"/>
  <c r="T44" i="20"/>
  <c r="T22" i="20"/>
  <c r="T13" i="20"/>
  <c r="J7" i="20"/>
  <c r="S41" i="20"/>
  <c r="T49" i="20"/>
  <c r="T47" i="20"/>
  <c r="T10" i="20"/>
  <c r="T27" i="20"/>
  <c r="T14" i="20"/>
  <c r="I81" i="20"/>
  <c r="J75" i="29"/>
  <c r="J80" i="29"/>
  <c r="J79" i="29"/>
  <c r="S17" i="27"/>
  <c r="T30" i="27"/>
  <c r="J77" i="27"/>
  <c r="S45" i="27"/>
  <c r="T7" i="27"/>
  <c r="I77" i="20"/>
  <c r="T48" i="20"/>
  <c r="T42" i="20"/>
  <c r="S40" i="20"/>
  <c r="T33" i="20"/>
  <c r="S31" i="20"/>
  <c r="T20" i="20"/>
  <c r="T18" i="20"/>
  <c r="T5" i="20"/>
  <c r="S3" i="20"/>
  <c r="T58" i="25"/>
  <c r="T10" i="25"/>
  <c r="T63" i="25"/>
  <c r="T43" i="29"/>
  <c r="N15" i="30" s="1"/>
  <c r="J37" i="20"/>
  <c r="T12" i="27"/>
  <c r="T22" i="27"/>
  <c r="S46" i="20"/>
  <c r="S33" i="20"/>
  <c r="T9" i="20"/>
  <c r="S58" i="25"/>
  <c r="T56" i="25"/>
  <c r="T8" i="25"/>
  <c r="I76" i="29"/>
  <c r="T61" i="29"/>
  <c r="I77" i="29"/>
  <c r="N19" i="30"/>
  <c r="T26" i="20"/>
  <c r="J78" i="29"/>
  <c r="I75" i="29"/>
  <c r="J81" i="25"/>
  <c r="T44" i="27"/>
  <c r="T47" i="27"/>
  <c r="T58" i="20"/>
  <c r="S66" i="20"/>
  <c r="I81" i="25"/>
  <c r="T42" i="25"/>
  <c r="T28" i="25"/>
  <c r="T25" i="29"/>
  <c r="S56" i="20"/>
  <c r="T32" i="20"/>
  <c r="T30" i="20"/>
  <c r="I76" i="20"/>
  <c r="T64" i="20"/>
  <c r="S67" i="20"/>
  <c r="I76" i="25"/>
  <c r="S52" i="25"/>
  <c r="T11" i="25"/>
  <c r="S36" i="29"/>
  <c r="S25" i="29"/>
  <c r="S20" i="29"/>
  <c r="I80" i="29"/>
  <c r="S58" i="27"/>
  <c r="I77" i="27"/>
  <c r="J75" i="20"/>
  <c r="T26" i="25"/>
  <c r="T16" i="25"/>
  <c r="S40" i="29"/>
  <c r="T30" i="29"/>
  <c r="T27" i="29"/>
  <c r="N11" i="30" s="1"/>
  <c r="S68" i="29"/>
  <c r="T33" i="29"/>
  <c r="S23" i="20"/>
  <c r="T4" i="27"/>
  <c r="T58" i="27"/>
  <c r="T19" i="27"/>
  <c r="T45" i="20"/>
  <c r="S19" i="20"/>
  <c r="J77" i="25"/>
  <c r="S57" i="25"/>
  <c r="T55" i="25"/>
  <c r="N46" i="30" s="1"/>
  <c r="T48" i="25"/>
  <c r="T7" i="25"/>
  <c r="S53" i="29"/>
  <c r="T51" i="29"/>
  <c r="N17" i="30" s="1"/>
  <c r="T45" i="29"/>
  <c r="S44" i="29"/>
  <c r="S18" i="29"/>
  <c r="T9" i="29"/>
  <c r="S4" i="27"/>
  <c r="S34" i="27"/>
  <c r="T54" i="27"/>
  <c r="T73" i="20"/>
  <c r="T36" i="25"/>
  <c r="S47" i="29"/>
  <c r="M16" i="30" s="1"/>
  <c r="S46" i="29"/>
  <c r="T24" i="29"/>
  <c r="T70" i="29"/>
  <c r="T71" i="29"/>
  <c r="N22" i="30" s="1"/>
  <c r="S72" i="29"/>
  <c r="I77" i="25"/>
  <c r="J75" i="25"/>
  <c r="T14" i="27"/>
  <c r="S38" i="27"/>
  <c r="T39" i="27"/>
  <c r="T38" i="20"/>
  <c r="S25" i="20"/>
  <c r="S12" i="20"/>
  <c r="T12" i="25"/>
  <c r="T60" i="25"/>
  <c r="S6" i="29"/>
  <c r="I75" i="27"/>
  <c r="I81" i="27"/>
  <c r="J81" i="27"/>
  <c r="T35" i="27"/>
  <c r="I76" i="27"/>
  <c r="AB20" i="10"/>
  <c r="AC3" i="10"/>
  <c r="I75" i="20"/>
  <c r="I80" i="20"/>
  <c r="S21" i="27"/>
  <c r="T18" i="27"/>
  <c r="S37" i="27"/>
  <c r="J78" i="27"/>
  <c r="J75" i="27"/>
  <c r="J76" i="27"/>
  <c r="I78" i="27"/>
  <c r="I80" i="27"/>
  <c r="J76" i="25"/>
  <c r="T53" i="27"/>
  <c r="Q78" i="27"/>
  <c r="J78" i="25"/>
  <c r="R32" i="27"/>
  <c r="S32" i="27"/>
  <c r="R64" i="27"/>
  <c r="S64" i="27"/>
  <c r="J78" i="20"/>
  <c r="T9" i="27"/>
  <c r="S16" i="27"/>
  <c r="J76" i="29"/>
  <c r="J76" i="20"/>
  <c r="J77" i="29"/>
  <c r="J81" i="29"/>
  <c r="T37" i="20"/>
  <c r="Q78" i="25"/>
  <c r="S48" i="25"/>
  <c r="R25" i="25"/>
  <c r="S45" i="29"/>
  <c r="T28" i="20"/>
  <c r="S26" i="20"/>
  <c r="S24" i="20"/>
  <c r="S3" i="25"/>
  <c r="S56" i="25"/>
  <c r="R51" i="25"/>
  <c r="S35" i="25"/>
  <c r="T17" i="25"/>
  <c r="T14" i="25"/>
  <c r="S74" i="25"/>
  <c r="T41" i="29"/>
  <c r="T19" i="29"/>
  <c r="N9" i="30" s="1"/>
  <c r="R68" i="29"/>
  <c r="S73" i="29"/>
  <c r="T15" i="20"/>
  <c r="I79" i="25"/>
  <c r="I80" i="25"/>
  <c r="S5" i="27"/>
  <c r="T6" i="27"/>
  <c r="T32" i="27"/>
  <c r="T37" i="27"/>
  <c r="S57" i="27"/>
  <c r="T55" i="20"/>
  <c r="G46" i="30" s="1"/>
  <c r="T53" i="20"/>
  <c r="T41" i="20"/>
  <c r="T34" i="20"/>
  <c r="S30" i="20"/>
  <c r="T19" i="20"/>
  <c r="T17" i="20"/>
  <c r="S15" i="20"/>
  <c r="S11" i="20"/>
  <c r="S61" i="20"/>
  <c r="R63" i="20"/>
  <c r="T54" i="25"/>
  <c r="T46" i="25"/>
  <c r="T23" i="25"/>
  <c r="S17" i="25"/>
  <c r="T5" i="25"/>
  <c r="S62" i="25"/>
  <c r="T58" i="29"/>
  <c r="T37" i="29"/>
  <c r="T35" i="29"/>
  <c r="N13" i="30" s="1"/>
  <c r="R18" i="29"/>
  <c r="T68" i="29"/>
  <c r="S69" i="29"/>
  <c r="T5" i="27"/>
  <c r="T16" i="27"/>
  <c r="S20" i="27"/>
  <c r="S41" i="27"/>
  <c r="T42" i="27"/>
  <c r="T52" i="27"/>
  <c r="T57" i="27"/>
  <c r="S7" i="27"/>
  <c r="T51" i="27"/>
  <c r="T78" i="27" s="1"/>
  <c r="G27" i="30" s="1"/>
  <c r="T66" i="27"/>
  <c r="T43" i="20"/>
  <c r="T4" i="20"/>
  <c r="S38" i="25"/>
  <c r="S33" i="25"/>
  <c r="S20" i="25"/>
  <c r="S5" i="25"/>
  <c r="T62" i="25"/>
  <c r="T49" i="29"/>
  <c r="I75" i="25"/>
  <c r="T20" i="27"/>
  <c r="S55" i="20"/>
  <c r="F46" i="30" s="1"/>
  <c r="S43" i="20"/>
  <c r="T36" i="20"/>
  <c r="T23" i="20"/>
  <c r="S21" i="20"/>
  <c r="S54" i="25"/>
  <c r="S31" i="25"/>
  <c r="S26" i="25"/>
  <c r="T18" i="25"/>
  <c r="S58" i="29"/>
  <c r="T47" i="29"/>
  <c r="N16" i="30" s="1"/>
  <c r="S35" i="29"/>
  <c r="M13" i="30" s="1"/>
  <c r="S63" i="29"/>
  <c r="M20" i="30" s="1"/>
  <c r="T55" i="27"/>
  <c r="G18" i="30" s="1"/>
  <c r="S69" i="27"/>
  <c r="S45" i="20"/>
  <c r="T25" i="20"/>
  <c r="T8" i="20"/>
  <c r="S64" i="20"/>
  <c r="R66" i="20"/>
  <c r="T52" i="25"/>
  <c r="T29" i="25"/>
  <c r="T21" i="25"/>
  <c r="R18" i="25"/>
  <c r="R15" i="25"/>
  <c r="T56" i="29"/>
  <c r="S49" i="29"/>
  <c r="R47" i="29"/>
  <c r="T46" i="29"/>
  <c r="T29" i="29"/>
  <c r="T28" i="29"/>
  <c r="S17" i="29"/>
  <c r="S16" i="29"/>
  <c r="T15" i="29"/>
  <c r="N8" i="30" s="1"/>
  <c r="T13" i="29"/>
  <c r="T12" i="29"/>
  <c r="T11" i="29"/>
  <c r="N7" i="30" s="1"/>
  <c r="T62" i="29"/>
  <c r="S22" i="25"/>
  <c r="T46" i="27"/>
  <c r="S27" i="27"/>
  <c r="T70" i="27"/>
  <c r="T74" i="27"/>
  <c r="S8" i="20"/>
  <c r="T55" i="29"/>
  <c r="N18" i="30" s="1"/>
  <c r="T44" i="29"/>
  <c r="T26" i="29"/>
  <c r="J80" i="27"/>
  <c r="S35" i="27"/>
  <c r="T13" i="27"/>
  <c r="S29" i="27"/>
  <c r="R34" i="27"/>
  <c r="S49" i="27"/>
  <c r="T50" i="27"/>
  <c r="S11" i="27"/>
  <c r="S3" i="27"/>
  <c r="T56" i="20"/>
  <c r="T50" i="20"/>
  <c r="T46" i="20"/>
  <c r="T40" i="20"/>
  <c r="T31" i="20"/>
  <c r="S29" i="20"/>
  <c r="T16" i="20"/>
  <c r="S14" i="20"/>
  <c r="T12" i="20"/>
  <c r="R67" i="20"/>
  <c r="S68" i="20"/>
  <c r="T50" i="25"/>
  <c r="T47" i="25"/>
  <c r="T27" i="25"/>
  <c r="T24" i="25"/>
  <c r="T13" i="25"/>
  <c r="T65" i="25"/>
  <c r="T66" i="25"/>
  <c r="R55" i="29"/>
  <c r="R44" i="29"/>
  <c r="S43" i="29"/>
  <c r="M15" i="30" s="1"/>
  <c r="S41" i="29"/>
  <c r="T40" i="29"/>
  <c r="T39" i="29"/>
  <c r="N14" i="30" s="1"/>
  <c r="S28" i="29"/>
  <c r="R23" i="29"/>
  <c r="T22" i="29"/>
  <c r="T21" i="29"/>
  <c r="T20" i="29"/>
  <c r="S11" i="29"/>
  <c r="M7" i="30" s="1"/>
  <c r="T8" i="29"/>
  <c r="T7" i="29"/>
  <c r="N6" i="30" s="1"/>
  <c r="T64" i="29"/>
  <c r="S65" i="29"/>
  <c r="T11" i="27"/>
  <c r="S55" i="25"/>
  <c r="M46" i="30" s="1"/>
  <c r="T42" i="29"/>
  <c r="J80" i="25"/>
  <c r="S50" i="27"/>
  <c r="S18" i="27"/>
  <c r="T24" i="27"/>
  <c r="T29" i="27"/>
  <c r="T49" i="27"/>
  <c r="T3" i="27"/>
  <c r="S58" i="20"/>
  <c r="S52" i="20"/>
  <c r="T35" i="20"/>
  <c r="S20" i="20"/>
  <c r="S70" i="20"/>
  <c r="T53" i="25"/>
  <c r="T45" i="25"/>
  <c r="N43" i="30" s="1"/>
  <c r="T40" i="25"/>
  <c r="N42" i="30" s="1"/>
  <c r="T37" i="25"/>
  <c r="S32" i="25"/>
  <c r="T22" i="25"/>
  <c r="S19" i="25"/>
  <c r="T48" i="27"/>
  <c r="T15" i="27"/>
  <c r="S54" i="20"/>
  <c r="T24" i="20"/>
  <c r="S18" i="20"/>
  <c r="T7" i="20"/>
  <c r="S45" i="25"/>
  <c r="T30" i="25"/>
  <c r="T25" i="25"/>
  <c r="S16" i="25"/>
  <c r="S4" i="25"/>
  <c r="S38" i="29"/>
  <c r="R36" i="29"/>
  <c r="T66" i="29"/>
  <c r="S14" i="29"/>
  <c r="S53" i="20"/>
  <c r="S14" i="25"/>
  <c r="S52" i="29"/>
  <c r="S10" i="20"/>
  <c r="R5" i="29"/>
  <c r="S42" i="29"/>
  <c r="S24" i="29"/>
  <c r="S6" i="25"/>
  <c r="G45" i="30"/>
  <c r="S53" i="27"/>
  <c r="S6" i="27"/>
  <c r="S55" i="27"/>
  <c r="F18" i="30" s="1"/>
  <c r="R29" i="29"/>
  <c r="R3" i="20"/>
  <c r="R63" i="29"/>
  <c r="S14" i="27"/>
  <c r="S47" i="27"/>
  <c r="S51" i="20"/>
  <c r="F45" i="30" s="1"/>
  <c r="S3" i="29"/>
  <c r="M5" i="30" s="1"/>
  <c r="R3" i="27"/>
  <c r="S59" i="29"/>
  <c r="S79" i="29" s="1"/>
  <c r="F40" i="9" s="1"/>
  <c r="R12" i="20"/>
  <c r="R40" i="29"/>
  <c r="S17" i="20"/>
  <c r="R33" i="20"/>
  <c r="R8" i="25"/>
  <c r="R48" i="27"/>
  <c r="R52" i="20"/>
  <c r="R43" i="20"/>
  <c r="S27" i="20"/>
  <c r="R64" i="20"/>
  <c r="S34" i="25"/>
  <c r="R32" i="25"/>
  <c r="R31" i="25"/>
  <c r="R5" i="25"/>
  <c r="R4" i="25"/>
  <c r="R46" i="29"/>
  <c r="S65" i="20"/>
  <c r="F48" i="30" s="1"/>
  <c r="T62" i="20"/>
  <c r="T65" i="20"/>
  <c r="S59" i="20"/>
  <c r="T72" i="20"/>
  <c r="S60" i="27"/>
  <c r="S66" i="27"/>
  <c r="T64" i="27"/>
  <c r="S69" i="20"/>
  <c r="F49" i="30" s="1"/>
  <c r="J60" i="27"/>
  <c r="I79" i="27"/>
  <c r="T72" i="27"/>
  <c r="T69" i="27"/>
  <c r="T59" i="27"/>
  <c r="S65" i="27"/>
  <c r="S68" i="27"/>
  <c r="T71" i="27"/>
  <c r="T67" i="27"/>
  <c r="T63" i="27"/>
  <c r="S73" i="27"/>
  <c r="S74" i="20"/>
  <c r="I79" i="20"/>
  <c r="T69" i="20"/>
  <c r="T74" i="20"/>
  <c r="J79" i="25"/>
  <c r="S61" i="25"/>
  <c r="S67" i="25"/>
  <c r="T69" i="25"/>
  <c r="T59" i="25"/>
  <c r="T68" i="25"/>
  <c r="T71" i="25"/>
  <c r="T74" i="25"/>
  <c r="S71" i="25"/>
  <c r="T73" i="25"/>
  <c r="T61" i="25"/>
  <c r="T67" i="25"/>
  <c r="T70" i="25"/>
  <c r="S63" i="25"/>
  <c r="T64" i="25"/>
  <c r="N48" i="30" s="1"/>
  <c r="S66" i="25"/>
  <c r="S69" i="25"/>
  <c r="T59" i="20"/>
  <c r="J68" i="20"/>
  <c r="J79" i="20" s="1"/>
  <c r="T71" i="20"/>
  <c r="T68" i="20"/>
  <c r="T67" i="20"/>
  <c r="T70" i="20"/>
  <c r="T63" i="20"/>
  <c r="T60" i="20"/>
  <c r="S72" i="20"/>
  <c r="J79" i="27"/>
  <c r="T62" i="27"/>
  <c r="T68" i="27"/>
  <c r="S63" i="27"/>
  <c r="T60" i="27"/>
  <c r="S72" i="27"/>
  <c r="S62" i="27"/>
  <c r="G19" i="9"/>
  <c r="G55" i="30"/>
  <c r="S12" i="29"/>
  <c r="S66" i="29"/>
  <c r="S57" i="29"/>
  <c r="R52" i="25"/>
  <c r="S61" i="29"/>
  <c r="R43" i="29"/>
  <c r="R20" i="20"/>
  <c r="S42" i="20"/>
  <c r="R16" i="27"/>
  <c r="S38" i="20"/>
  <c r="S15" i="27"/>
  <c r="R42" i="25"/>
  <c r="R41" i="20"/>
  <c r="S10" i="29"/>
  <c r="R68" i="27"/>
  <c r="S60" i="20"/>
  <c r="S8" i="27"/>
  <c r="S27" i="29"/>
  <c r="M11" i="30" s="1"/>
  <c r="S71" i="29"/>
  <c r="M22" i="30" s="1"/>
  <c r="S28" i="20"/>
  <c r="R18" i="27"/>
  <c r="R37" i="27"/>
  <c r="R41" i="27"/>
  <c r="R40" i="20"/>
  <c r="R30" i="20"/>
  <c r="R25" i="20"/>
  <c r="R21" i="20"/>
  <c r="R14" i="20"/>
  <c r="S13" i="20"/>
  <c r="S43" i="25"/>
  <c r="S61" i="27"/>
  <c r="S7" i="29"/>
  <c r="M6" i="30" s="1"/>
  <c r="S70" i="29"/>
  <c r="S37" i="29"/>
  <c r="S22" i="20"/>
  <c r="R69" i="27"/>
  <c r="S33" i="29"/>
  <c r="S32" i="20"/>
  <c r="R41" i="29"/>
  <c r="S39" i="20"/>
  <c r="S72" i="25"/>
  <c r="S34" i="29"/>
  <c r="R58" i="27"/>
  <c r="R65" i="27"/>
  <c r="R58" i="20"/>
  <c r="R31" i="20"/>
  <c r="R26" i="20"/>
  <c r="R59" i="25"/>
  <c r="T75" i="29"/>
  <c r="T80" i="29"/>
  <c r="N5" i="30"/>
  <c r="G40" i="9"/>
  <c r="Q75" i="27"/>
  <c r="R43" i="27"/>
  <c r="S43" i="27"/>
  <c r="S21" i="25"/>
  <c r="R21" i="25"/>
  <c r="S67" i="27"/>
  <c r="R67" i="27"/>
  <c r="R70" i="27"/>
  <c r="S70" i="27"/>
  <c r="R48" i="20"/>
  <c r="S48" i="20"/>
  <c r="R21" i="27"/>
  <c r="R4" i="27"/>
  <c r="Q75" i="29"/>
  <c r="T51" i="25"/>
  <c r="S39" i="27"/>
  <c r="R39" i="27"/>
  <c r="S78" i="25"/>
  <c r="Q78" i="20"/>
  <c r="S70" i="25"/>
  <c r="S25" i="27"/>
  <c r="R21" i="29"/>
  <c r="S32" i="29"/>
  <c r="S31" i="27"/>
  <c r="R31" i="27"/>
  <c r="R50" i="20"/>
  <c r="S50" i="20"/>
  <c r="R53" i="29"/>
  <c r="S9" i="20"/>
  <c r="S9" i="25"/>
  <c r="S42" i="27"/>
  <c r="Q79" i="29"/>
  <c r="S34" i="20"/>
  <c r="S30" i="29"/>
  <c r="R74" i="27"/>
  <c r="S74" i="27"/>
  <c r="S11" i="25"/>
  <c r="Q79" i="27"/>
  <c r="R13" i="29"/>
  <c r="S13" i="29"/>
  <c r="S12" i="25"/>
  <c r="Q80" i="27"/>
  <c r="S41" i="25"/>
  <c r="S13" i="25"/>
  <c r="R11" i="20"/>
  <c r="R11" i="27"/>
  <c r="S19" i="29"/>
  <c r="R65" i="25"/>
  <c r="S65" i="25"/>
  <c r="T76" i="29"/>
  <c r="S36" i="25"/>
  <c r="S9" i="27"/>
  <c r="S4" i="29"/>
  <c r="S56" i="29"/>
  <c r="R17" i="27"/>
  <c r="S71" i="20"/>
  <c r="S40" i="25"/>
  <c r="S22" i="27"/>
  <c r="S37" i="25"/>
  <c r="S46" i="25"/>
  <c r="R28" i="27"/>
  <c r="S28" i="27"/>
  <c r="S16" i="20"/>
  <c r="Q80" i="20"/>
  <c r="R61" i="20"/>
  <c r="R58" i="25"/>
  <c r="R67" i="25"/>
  <c r="S13" i="27"/>
  <c r="R13" i="27"/>
  <c r="R19" i="27"/>
  <c r="S19" i="27"/>
  <c r="R15" i="29"/>
  <c r="S15" i="29"/>
  <c r="M8" i="30" s="1"/>
  <c r="R74" i="29"/>
  <c r="S74" i="29"/>
  <c r="S12" i="27"/>
  <c r="R12" i="27"/>
  <c r="R54" i="27"/>
  <c r="S54" i="27"/>
  <c r="R8" i="29"/>
  <c r="S8" i="29"/>
  <c r="T21" i="20"/>
  <c r="Q76" i="20"/>
  <c r="S64" i="25"/>
  <c r="R64" i="25"/>
  <c r="Q80" i="25"/>
  <c r="T4" i="25"/>
  <c r="Q75" i="25"/>
  <c r="Q81" i="25"/>
  <c r="Q77" i="27"/>
  <c r="R23" i="27"/>
  <c r="S23" i="27"/>
  <c r="R71" i="27"/>
  <c r="S71" i="27"/>
  <c r="Q77" i="25"/>
  <c r="T35" i="25"/>
  <c r="S26" i="29"/>
  <c r="R26" i="29"/>
  <c r="T11" i="20"/>
  <c r="Q75" i="20"/>
  <c r="S73" i="20"/>
  <c r="R73" i="20"/>
  <c r="Q76" i="29"/>
  <c r="T6" i="29"/>
  <c r="Q80" i="29"/>
  <c r="R60" i="29"/>
  <c r="S60" i="29"/>
  <c r="S56" i="27"/>
  <c r="R56" i="27"/>
  <c r="R4" i="20"/>
  <c r="S4" i="20"/>
  <c r="R62" i="20"/>
  <c r="S62" i="20"/>
  <c r="R44" i="20"/>
  <c r="S44" i="20"/>
  <c r="R26" i="27"/>
  <c r="S26" i="27"/>
  <c r="S36" i="27"/>
  <c r="R36" i="27"/>
  <c r="Q77" i="20"/>
  <c r="Q79" i="20"/>
  <c r="R60" i="25"/>
  <c r="S60" i="25"/>
  <c r="S24" i="27"/>
  <c r="R24" i="27"/>
  <c r="R33" i="27"/>
  <c r="S33" i="27"/>
  <c r="R51" i="27"/>
  <c r="S51" i="27"/>
  <c r="R59" i="27"/>
  <c r="S59" i="27"/>
  <c r="Q76" i="27"/>
  <c r="R52" i="27"/>
  <c r="S52" i="27"/>
  <c r="S73" i="25"/>
  <c r="R73" i="25"/>
  <c r="S35" i="20"/>
  <c r="S64" i="29"/>
  <c r="T52" i="29"/>
  <c r="Q78" i="29"/>
  <c r="S30" i="25"/>
  <c r="S24" i="25"/>
  <c r="R24" i="25"/>
  <c r="S68" i="25"/>
  <c r="R68" i="25"/>
  <c r="S49" i="20"/>
  <c r="Q79" i="25"/>
  <c r="R46" i="27"/>
  <c r="S46" i="27"/>
  <c r="R36" i="20"/>
  <c r="S36" i="20"/>
  <c r="S7" i="25"/>
  <c r="R7" i="25"/>
  <c r="R22" i="29"/>
  <c r="S22" i="29"/>
  <c r="S67" i="29"/>
  <c r="M21" i="30" s="1"/>
  <c r="Q81" i="27"/>
  <c r="R8" i="20"/>
  <c r="R45" i="25"/>
  <c r="Q77" i="29"/>
  <c r="S49" i="25"/>
  <c r="M44" i="30" s="1"/>
  <c r="R5" i="20"/>
  <c r="S5" i="20"/>
  <c r="R39" i="25"/>
  <c r="S39" i="25"/>
  <c r="Q76" i="25"/>
  <c r="T3" i="20"/>
  <c r="Q81" i="20"/>
  <c r="Q82" i="20" s="1"/>
  <c r="S23" i="25"/>
  <c r="S51" i="29"/>
  <c r="R44" i="27"/>
  <c r="S44" i="27"/>
  <c r="Q81" i="29"/>
  <c r="Q82" i="29" s="1"/>
  <c r="S10" i="27"/>
  <c r="R70" i="20"/>
  <c r="R40" i="27"/>
  <c r="S40" i="27"/>
  <c r="D16" i="30"/>
  <c r="K20" i="30"/>
  <c r="L33" i="30"/>
  <c r="X75" i="25"/>
  <c r="X80" i="25"/>
  <c r="D36" i="30"/>
  <c r="C12" i="30"/>
  <c r="Y76" i="29"/>
  <c r="C6" i="30"/>
  <c r="V78" i="29"/>
  <c r="J17" i="30"/>
  <c r="K39" i="30"/>
  <c r="E20" i="30"/>
  <c r="D18" i="30"/>
  <c r="C7" i="30"/>
  <c r="J8" i="30"/>
  <c r="D47" i="30"/>
  <c r="W79" i="20"/>
  <c r="L9" i="30"/>
  <c r="X76" i="29"/>
  <c r="AA76" i="20"/>
  <c r="K35" i="30"/>
  <c r="E50" i="30"/>
  <c r="C37" i="30"/>
  <c r="V76" i="20"/>
  <c r="D42" i="30"/>
  <c r="Z79" i="27"/>
  <c r="Y77" i="25"/>
  <c r="J5" i="30"/>
  <c r="V75" i="29"/>
  <c r="V80" i="29"/>
  <c r="J7" i="30"/>
  <c r="Y77" i="20"/>
  <c r="E12" i="30"/>
  <c r="X76" i="27"/>
  <c r="E9" i="30"/>
  <c r="Z76" i="29"/>
  <c r="L15" i="30"/>
  <c r="Y80" i="29"/>
  <c r="Y75" i="29"/>
  <c r="W75" i="20"/>
  <c r="D33" i="30"/>
  <c r="W80" i="20"/>
  <c r="AA79" i="25"/>
  <c r="J40" i="30"/>
  <c r="K8" i="30"/>
  <c r="X75" i="29"/>
  <c r="X80" i="29"/>
  <c r="L5" i="30"/>
  <c r="J20" i="30"/>
  <c r="E8" i="30"/>
  <c r="Z78" i="27"/>
  <c r="Y75" i="25"/>
  <c r="Y80" i="25"/>
  <c r="C15" i="30"/>
  <c r="Y76" i="25"/>
  <c r="K14" i="30"/>
  <c r="L40" i="30"/>
  <c r="AA79" i="27"/>
  <c r="J16" i="30"/>
  <c r="C39" i="30"/>
  <c r="L38" i="30"/>
  <c r="Z75" i="20"/>
  <c r="Z80" i="20"/>
  <c r="J9" i="30"/>
  <c r="V76" i="29"/>
  <c r="J34" i="30"/>
  <c r="AA80" i="27"/>
  <c r="AA75" i="27"/>
  <c r="E42" i="30"/>
  <c r="D35" i="30"/>
  <c r="K44" i="30"/>
  <c r="Z75" i="29"/>
  <c r="Z80" i="29"/>
  <c r="D48" i="30"/>
  <c r="Y78" i="25"/>
  <c r="J45" i="30"/>
  <c r="V78" i="25"/>
  <c r="Y76" i="27"/>
  <c r="Y78" i="20"/>
  <c r="AA80" i="29"/>
  <c r="AA75" i="29"/>
  <c r="K40" i="30"/>
  <c r="K47" i="30"/>
  <c r="W79" i="25"/>
  <c r="D6" i="30"/>
  <c r="C36" i="30"/>
  <c r="C41" i="30"/>
  <c r="V77" i="20"/>
  <c r="K12" i="30"/>
  <c r="AA78" i="29"/>
  <c r="E41" i="30"/>
  <c r="X77" i="20"/>
  <c r="J43" i="30"/>
  <c r="D39" i="30"/>
  <c r="Z76" i="25"/>
  <c r="L20" i="30"/>
  <c r="Y76" i="20"/>
  <c r="C35" i="30"/>
  <c r="C50" i="30"/>
  <c r="X77" i="29"/>
  <c r="L13" i="30"/>
  <c r="X79" i="20"/>
  <c r="E47" i="30"/>
  <c r="E18" i="30"/>
  <c r="D43" i="30"/>
  <c r="V79" i="29"/>
  <c r="J19" i="30"/>
  <c r="D10" i="30"/>
  <c r="J12" i="30"/>
  <c r="E15" i="30"/>
  <c r="D37" i="30"/>
  <c r="W76" i="20"/>
  <c r="D45" i="30"/>
  <c r="W78" i="20"/>
  <c r="Z76" i="27"/>
  <c r="D38" i="30"/>
  <c r="L12" i="30"/>
  <c r="AA76" i="29"/>
  <c r="E13" i="30"/>
  <c r="X77" i="27"/>
  <c r="J42" i="30"/>
  <c r="L48" i="30"/>
  <c r="C45" i="30"/>
  <c r="V78" i="20"/>
  <c r="J6" i="30"/>
  <c r="AA80" i="20"/>
  <c r="AA75" i="20"/>
  <c r="K18" i="30"/>
  <c r="Z77" i="20"/>
  <c r="AA77" i="29"/>
  <c r="K36" i="30"/>
  <c r="J15" i="30"/>
  <c r="Y77" i="29"/>
  <c r="E19" i="30"/>
  <c r="X79" i="27"/>
  <c r="V77" i="29"/>
  <c r="J13" i="30"/>
  <c r="E10" i="30"/>
  <c r="AA77" i="27"/>
  <c r="K11" i="30"/>
  <c r="L39" i="30"/>
  <c r="E7" i="30"/>
  <c r="AA78" i="20"/>
  <c r="L43" i="30"/>
  <c r="L50" i="30"/>
  <c r="D12" i="30"/>
  <c r="K6" i="30"/>
  <c r="E35" i="30"/>
  <c r="C20" i="30"/>
  <c r="K16" i="30"/>
  <c r="Y80" i="27"/>
  <c r="Y75" i="27"/>
  <c r="L11" i="30"/>
  <c r="E44" i="30"/>
  <c r="K22" i="30"/>
  <c r="J46" i="30"/>
  <c r="L44" i="30"/>
  <c r="E36" i="30"/>
  <c r="W78" i="27"/>
  <c r="D17" i="30"/>
  <c r="V79" i="27"/>
  <c r="C19" i="30"/>
  <c r="C47" i="30"/>
  <c r="V79" i="20"/>
  <c r="J14" i="30"/>
  <c r="K45" i="30"/>
  <c r="W78" i="25"/>
  <c r="D49" i="30"/>
  <c r="D14" i="30"/>
  <c r="K46" i="30"/>
  <c r="C8" i="30"/>
  <c r="Z79" i="25"/>
  <c r="D11" i="30"/>
  <c r="K50" i="30"/>
  <c r="J38" i="30"/>
  <c r="AA76" i="27"/>
  <c r="E14" i="30"/>
  <c r="K48" i="30"/>
  <c r="Z79" i="20"/>
  <c r="J39" i="30"/>
  <c r="K21" i="30"/>
  <c r="L49" i="30"/>
  <c r="L46" i="30"/>
  <c r="Y78" i="27"/>
  <c r="Z78" i="29"/>
  <c r="D13" i="30"/>
  <c r="W77" i="27"/>
  <c r="W78" i="29"/>
  <c r="K17" i="30"/>
  <c r="J10" i="30"/>
  <c r="L14" i="30"/>
  <c r="C48" i="30"/>
  <c r="K38" i="30"/>
  <c r="C13" i="30"/>
  <c r="V77" i="27"/>
  <c r="L19" i="30"/>
  <c r="X79" i="29"/>
  <c r="D50" i="30"/>
  <c r="D40" i="30"/>
  <c r="C16" i="30"/>
  <c r="AA80" i="25"/>
  <c r="AA75" i="25"/>
  <c r="L42" i="30"/>
  <c r="Y77" i="27"/>
  <c r="E6" i="30"/>
  <c r="D19" i="30"/>
  <c r="W79" i="27"/>
  <c r="K7" i="30"/>
  <c r="L22" i="30"/>
  <c r="Z78" i="25"/>
  <c r="C9" i="30"/>
  <c r="V76" i="27"/>
  <c r="C44" i="30"/>
  <c r="X77" i="25"/>
  <c r="L41" i="30"/>
  <c r="C22" i="30"/>
  <c r="Y79" i="20"/>
  <c r="AA76" i="25"/>
  <c r="V80" i="20"/>
  <c r="V75" i="20"/>
  <c r="C33" i="30"/>
  <c r="C34" i="30"/>
  <c r="Y79" i="25"/>
  <c r="K43" i="30"/>
  <c r="K10" i="30"/>
  <c r="Z75" i="25"/>
  <c r="Z80" i="25"/>
  <c r="E38" i="30"/>
  <c r="J44" i="30"/>
  <c r="C11" i="30"/>
  <c r="L37" i="30"/>
  <c r="X76" i="25"/>
  <c r="D22" i="30"/>
  <c r="W80" i="29"/>
  <c r="W75" i="29"/>
  <c r="K5" i="30"/>
  <c r="J21" i="30"/>
  <c r="D9" i="30"/>
  <c r="W76" i="27"/>
  <c r="E46" i="30"/>
  <c r="J22" i="30"/>
  <c r="K15" i="30"/>
  <c r="J37" i="30"/>
  <c r="V76" i="25"/>
  <c r="E21" i="30"/>
  <c r="Z77" i="29"/>
  <c r="Z77" i="27"/>
  <c r="E22" i="30"/>
  <c r="Z77" i="25"/>
  <c r="J49" i="30"/>
  <c r="L47" i="30"/>
  <c r="X79" i="25"/>
  <c r="Y80" i="20"/>
  <c r="Y75" i="20"/>
  <c r="J48" i="30"/>
  <c r="D21" i="30"/>
  <c r="E37" i="30"/>
  <c r="X76" i="20"/>
  <c r="W80" i="25"/>
  <c r="W75" i="25"/>
  <c r="K33" i="30"/>
  <c r="E39" i="30"/>
  <c r="C17" i="30"/>
  <c r="V78" i="27"/>
  <c r="C38" i="30"/>
  <c r="X78" i="25"/>
  <c r="L45" i="30"/>
  <c r="L16" i="30"/>
  <c r="X78" i="20"/>
  <c r="E45" i="30"/>
  <c r="AA78" i="25"/>
  <c r="Z79" i="29"/>
  <c r="K42" i="30"/>
  <c r="J35" i="30"/>
  <c r="E40" i="30"/>
  <c r="V80" i="25"/>
  <c r="V75" i="25"/>
  <c r="J33" i="30"/>
  <c r="E16" i="30"/>
  <c r="D41" i="30"/>
  <c r="W77" i="20"/>
  <c r="L17" i="30"/>
  <c r="X78" i="29"/>
  <c r="K9" i="30"/>
  <c r="W76" i="29"/>
  <c r="E11" i="30"/>
  <c r="J11" i="30"/>
  <c r="AA78" i="27"/>
  <c r="J18" i="30"/>
  <c r="W79" i="29"/>
  <c r="K19" i="30"/>
  <c r="E49" i="30"/>
  <c r="C40" i="30"/>
  <c r="AA79" i="29"/>
  <c r="E48" i="30"/>
  <c r="L7" i="30"/>
  <c r="W80" i="27"/>
  <c r="D5" i="30"/>
  <c r="W75" i="27"/>
  <c r="Y79" i="29"/>
  <c r="D8" i="30"/>
  <c r="D7" i="30"/>
  <c r="D44" i="30"/>
  <c r="C21" i="30"/>
  <c r="D15" i="30"/>
  <c r="J41" i="30"/>
  <c r="V77" i="25"/>
  <c r="L36" i="30"/>
  <c r="L6" i="30"/>
  <c r="C14" i="30"/>
  <c r="D46" i="30"/>
  <c r="C49" i="30"/>
  <c r="L10" i="30"/>
  <c r="K37" i="30"/>
  <c r="W76" i="25"/>
  <c r="Y78" i="29"/>
  <c r="W77" i="25"/>
  <c r="K41" i="30"/>
  <c r="C43" i="30"/>
  <c r="X75" i="20"/>
  <c r="X80" i="20"/>
  <c r="E33" i="30"/>
  <c r="C46" i="30"/>
  <c r="AA79" i="20"/>
  <c r="E17" i="30"/>
  <c r="X78" i="27"/>
  <c r="Z78" i="20"/>
  <c r="Z75" i="27"/>
  <c r="Z80" i="27"/>
  <c r="L8" i="30"/>
  <c r="Z76" i="20"/>
  <c r="V80" i="27"/>
  <c r="V75" i="27"/>
  <c r="C5" i="30"/>
  <c r="Y79" i="27"/>
  <c r="E5" i="30"/>
  <c r="X80" i="27"/>
  <c r="X75" i="27"/>
  <c r="E43" i="30"/>
  <c r="J50" i="30"/>
  <c r="AA77" i="25"/>
  <c r="K34" i="30"/>
  <c r="AA77" i="20"/>
  <c r="D20" i="30"/>
  <c r="L34" i="30"/>
  <c r="C42" i="30"/>
  <c r="C10" i="30"/>
  <c r="L18" i="30"/>
  <c r="L35" i="30"/>
  <c r="D34" i="30"/>
  <c r="K49" i="30"/>
  <c r="E34" i="30"/>
  <c r="J36" i="30"/>
  <c r="C18" i="30"/>
  <c r="L21" i="30"/>
  <c r="J47" i="30"/>
  <c r="V79" i="25"/>
  <c r="K13" i="30"/>
  <c r="W77" i="29"/>
  <c r="G13" i="30" l="1"/>
  <c r="G39" i="30"/>
  <c r="S77" i="29"/>
  <c r="F37" i="9" s="1"/>
  <c r="M28" i="30"/>
  <c r="G42" i="30"/>
  <c r="N36" i="30"/>
  <c r="M19" i="30"/>
  <c r="M36" i="30"/>
  <c r="N34" i="30"/>
  <c r="N40" i="30"/>
  <c r="G7" i="30"/>
  <c r="G14" i="30"/>
  <c r="F8" i="30"/>
  <c r="G5" i="30"/>
  <c r="G15" i="30"/>
  <c r="N37" i="30"/>
  <c r="G11" i="30"/>
  <c r="S80" i="29"/>
  <c r="F38" i="9" s="1"/>
  <c r="S75" i="29"/>
  <c r="R76" i="20"/>
  <c r="G6" i="30"/>
  <c r="N39" i="30"/>
  <c r="N44" i="30"/>
  <c r="G9" i="30"/>
  <c r="G16" i="30"/>
  <c r="G12" i="30"/>
  <c r="T76" i="27"/>
  <c r="G6" i="9" s="1"/>
  <c r="F16" i="30"/>
  <c r="Q82" i="25"/>
  <c r="N33" i="30"/>
  <c r="M43" i="30"/>
  <c r="M33" i="30"/>
  <c r="N35" i="30"/>
  <c r="M39" i="30"/>
  <c r="G36" i="30"/>
  <c r="T77" i="20"/>
  <c r="G17" i="9" s="1"/>
  <c r="G43" i="30"/>
  <c r="J81" i="20"/>
  <c r="G40" i="30"/>
  <c r="G44" i="30"/>
  <c r="Q82" i="27"/>
  <c r="T77" i="29"/>
  <c r="N25" i="30" s="1"/>
  <c r="N38" i="30"/>
  <c r="T78" i="29"/>
  <c r="G39" i="9" s="1"/>
  <c r="F38" i="30"/>
  <c r="J80" i="20"/>
  <c r="J77" i="20"/>
  <c r="G34" i="30"/>
  <c r="F13" i="30"/>
  <c r="T75" i="27"/>
  <c r="G5" i="9" s="1"/>
  <c r="T80" i="27"/>
  <c r="G26" i="30" s="1"/>
  <c r="G35" i="30"/>
  <c r="G38" i="30"/>
  <c r="F37" i="30"/>
  <c r="G41" i="30"/>
  <c r="F35" i="30"/>
  <c r="F43" i="30"/>
  <c r="R78" i="29"/>
  <c r="T77" i="27"/>
  <c r="G25" i="30" s="1"/>
  <c r="G10" i="30"/>
  <c r="G17" i="30"/>
  <c r="S78" i="20"/>
  <c r="F55" i="30" s="1"/>
  <c r="AC4" i="10"/>
  <c r="G8" i="30"/>
  <c r="T76" i="25"/>
  <c r="G26" i="9" s="1"/>
  <c r="F36" i="30"/>
  <c r="M37" i="30"/>
  <c r="F5" i="30"/>
  <c r="T76" i="20"/>
  <c r="G52" i="30" s="1"/>
  <c r="F11" i="30"/>
  <c r="G20" i="30"/>
  <c r="M47" i="30"/>
  <c r="F20" i="30"/>
  <c r="M40" i="30"/>
  <c r="R78" i="20"/>
  <c r="N47" i="30"/>
  <c r="G19" i="30"/>
  <c r="F50" i="30"/>
  <c r="G37" i="30"/>
  <c r="G48" i="30"/>
  <c r="R77" i="29"/>
  <c r="G49" i="30"/>
  <c r="M41" i="30"/>
  <c r="F39" i="30"/>
  <c r="F47" i="30"/>
  <c r="T75" i="25"/>
  <c r="N51" i="30" s="1"/>
  <c r="F34" i="30"/>
  <c r="S75" i="27"/>
  <c r="F5" i="9" s="1"/>
  <c r="T79" i="25"/>
  <c r="G30" i="9" s="1"/>
  <c r="F42" i="30"/>
  <c r="R78" i="25"/>
  <c r="M49" i="30"/>
  <c r="G22" i="30"/>
  <c r="F21" i="30"/>
  <c r="T79" i="27"/>
  <c r="G10" i="9" s="1"/>
  <c r="M48" i="30"/>
  <c r="N49" i="30"/>
  <c r="S79" i="25"/>
  <c r="M56" i="30" s="1"/>
  <c r="S79" i="20"/>
  <c r="G50" i="30"/>
  <c r="T79" i="20"/>
  <c r="G20" i="9" s="1"/>
  <c r="G47" i="30"/>
  <c r="F22" i="30"/>
  <c r="G21" i="30"/>
  <c r="M50" i="30"/>
  <c r="N50" i="30"/>
  <c r="F15" i="30"/>
  <c r="S76" i="20"/>
  <c r="F16" i="9" s="1"/>
  <c r="F40" i="30"/>
  <c r="F19" i="9"/>
  <c r="M34" i="30"/>
  <c r="R79" i="27"/>
  <c r="R75" i="29"/>
  <c r="G9" i="9"/>
  <c r="R76" i="29"/>
  <c r="R76" i="25"/>
  <c r="R77" i="20"/>
  <c r="R79" i="29"/>
  <c r="T78" i="25"/>
  <c r="N45" i="30"/>
  <c r="S80" i="27"/>
  <c r="F8" i="9" s="1"/>
  <c r="M25" i="30"/>
  <c r="R80" i="27"/>
  <c r="F7" i="30"/>
  <c r="M9" i="30"/>
  <c r="S76" i="29"/>
  <c r="R81" i="29"/>
  <c r="R82" i="29" s="1"/>
  <c r="R80" i="29"/>
  <c r="R75" i="27"/>
  <c r="M35" i="30"/>
  <c r="R77" i="27"/>
  <c r="M55" i="30"/>
  <c r="F29" i="9"/>
  <c r="R81" i="27"/>
  <c r="R82" i="27" s="1"/>
  <c r="F44" i="30"/>
  <c r="M42" i="30"/>
  <c r="R79" i="25"/>
  <c r="G36" i="9"/>
  <c r="N24" i="30"/>
  <c r="G35" i="9"/>
  <c r="N23" i="30"/>
  <c r="F10" i="30"/>
  <c r="F14" i="30"/>
  <c r="M38" i="30"/>
  <c r="R77" i="25"/>
  <c r="F12" i="30"/>
  <c r="G38" i="9"/>
  <c r="N26" i="30"/>
  <c r="F35" i="9"/>
  <c r="M23" i="30"/>
  <c r="S77" i="27"/>
  <c r="S76" i="25"/>
  <c r="S80" i="25"/>
  <c r="F41" i="30"/>
  <c r="S77" i="20"/>
  <c r="G53" i="30"/>
  <c r="S76" i="27"/>
  <c r="F9" i="30"/>
  <c r="R78" i="27"/>
  <c r="S80" i="20"/>
  <c r="F33" i="30"/>
  <c r="S75" i="20"/>
  <c r="F6" i="30"/>
  <c r="R75" i="25"/>
  <c r="R81" i="25"/>
  <c r="R82" i="25" s="1"/>
  <c r="M17" i="30"/>
  <c r="S78" i="29"/>
  <c r="N41" i="30"/>
  <c r="T77" i="25"/>
  <c r="S79" i="27"/>
  <c r="F19" i="30"/>
  <c r="S77" i="25"/>
  <c r="S78" i="27"/>
  <c r="F17" i="30"/>
  <c r="S75" i="25"/>
  <c r="R79" i="20"/>
  <c r="T80" i="25"/>
  <c r="R76" i="27"/>
  <c r="T80" i="20"/>
  <c r="T75" i="20"/>
  <c r="G33" i="30"/>
  <c r="R80" i="25"/>
  <c r="R80" i="20"/>
  <c r="R81" i="20"/>
  <c r="R75" i="20"/>
  <c r="D6" i="9"/>
  <c r="D24" i="30"/>
  <c r="K55" i="30"/>
  <c r="D29" i="9"/>
  <c r="K24" i="30"/>
  <c r="D36" i="9"/>
  <c r="C35" i="9"/>
  <c r="J23" i="30"/>
  <c r="E37" i="9"/>
  <c r="L25" i="30"/>
  <c r="D5" i="9"/>
  <c r="D23" i="30"/>
  <c r="L26" i="30"/>
  <c r="E38" i="9"/>
  <c r="L53" i="30"/>
  <c r="E27" i="9"/>
  <c r="K53" i="30"/>
  <c r="D27" i="9"/>
  <c r="E55" i="30"/>
  <c r="E19" i="9"/>
  <c r="C28" i="9"/>
  <c r="J54" i="30"/>
  <c r="J52" i="30"/>
  <c r="C26" i="9"/>
  <c r="C55" i="30"/>
  <c r="C19" i="9"/>
  <c r="C27" i="9"/>
  <c r="J53" i="30"/>
  <c r="D25" i="30"/>
  <c r="D7" i="9"/>
  <c r="E25" i="9"/>
  <c r="L51" i="30"/>
  <c r="E23" i="30"/>
  <c r="E5" i="9"/>
  <c r="D40" i="9"/>
  <c r="K28" i="30"/>
  <c r="L55" i="30"/>
  <c r="E29" i="9"/>
  <c r="E16" i="9"/>
  <c r="E52" i="30"/>
  <c r="D38" i="9"/>
  <c r="K26" i="30"/>
  <c r="D19" i="9"/>
  <c r="D55" i="30"/>
  <c r="J28" i="30"/>
  <c r="C40" i="9"/>
  <c r="D18" i="9"/>
  <c r="D54" i="30"/>
  <c r="E6" i="9"/>
  <c r="E24" i="30"/>
  <c r="K25" i="30"/>
  <c r="D37" i="9"/>
  <c r="D28" i="30"/>
  <c r="D10" i="9"/>
  <c r="D9" i="9"/>
  <c r="D27" i="30"/>
  <c r="E28" i="30"/>
  <c r="E10" i="9"/>
  <c r="E9" i="9"/>
  <c r="E27" i="30"/>
  <c r="E56" i="30"/>
  <c r="E20" i="9"/>
  <c r="E35" i="9"/>
  <c r="L23" i="30"/>
  <c r="C38" i="9"/>
  <c r="J26" i="30"/>
  <c r="J56" i="30"/>
  <c r="C30" i="9"/>
  <c r="J51" i="30"/>
  <c r="C25" i="9"/>
  <c r="L28" i="30"/>
  <c r="E40" i="9"/>
  <c r="J55" i="30"/>
  <c r="C29" i="9"/>
  <c r="K51" i="30"/>
  <c r="D25" i="9"/>
  <c r="C24" i="30"/>
  <c r="C6" i="9"/>
  <c r="D39" i="9"/>
  <c r="K27" i="30"/>
  <c r="C20" i="9"/>
  <c r="C56" i="30"/>
  <c r="D30" i="9"/>
  <c r="K56" i="30"/>
  <c r="K54" i="30"/>
  <c r="D28" i="9"/>
  <c r="C54" i="30"/>
  <c r="C18" i="9"/>
  <c r="C7" i="9"/>
  <c r="C25" i="30"/>
  <c r="E26" i="30"/>
  <c r="E8" i="9"/>
  <c r="E18" i="9"/>
  <c r="E54" i="30"/>
  <c r="D8" i="9"/>
  <c r="D26" i="30"/>
  <c r="D53" i="30"/>
  <c r="D17" i="9"/>
  <c r="C10" i="9"/>
  <c r="C28" i="30"/>
  <c r="C36" i="9"/>
  <c r="J24" i="30"/>
  <c r="D56" i="30"/>
  <c r="D20" i="9"/>
  <c r="J27" i="30"/>
  <c r="C39" i="9"/>
  <c r="C23" i="30"/>
  <c r="C5" i="9"/>
  <c r="C8" i="9"/>
  <c r="C26" i="30"/>
  <c r="E30" i="9"/>
  <c r="L56" i="30"/>
  <c r="C15" i="9"/>
  <c r="C51" i="30"/>
  <c r="E53" i="30"/>
  <c r="E17" i="9"/>
  <c r="E28" i="9"/>
  <c r="L54" i="30"/>
  <c r="K52" i="30"/>
  <c r="D26" i="9"/>
  <c r="L27" i="30"/>
  <c r="E39" i="9"/>
  <c r="K23" i="30"/>
  <c r="D35" i="9"/>
  <c r="L24" i="30"/>
  <c r="E36" i="9"/>
  <c r="E51" i="30"/>
  <c r="E15" i="9"/>
  <c r="C27" i="30"/>
  <c r="C9" i="9"/>
  <c r="L52" i="30"/>
  <c r="E26" i="9"/>
  <c r="C37" i="9"/>
  <c r="J25" i="30"/>
  <c r="E25" i="30"/>
  <c r="E7" i="9"/>
  <c r="D16" i="9"/>
  <c r="D52" i="30"/>
  <c r="C17" i="9"/>
  <c r="C53" i="30"/>
  <c r="D15" i="9"/>
  <c r="D51" i="30"/>
  <c r="C16" i="9"/>
  <c r="C52" i="30"/>
  <c r="AI3" i="10"/>
  <c r="AJ3" i="10"/>
  <c r="AD3" i="10"/>
  <c r="AK3" i="10"/>
  <c r="AO3" i="10"/>
  <c r="AP3" i="10"/>
  <c r="AQ3" i="10"/>
  <c r="AL3" i="10"/>
  <c r="AF3" i="10"/>
  <c r="AN3" i="10"/>
  <c r="AE3" i="10"/>
  <c r="AG3" i="10"/>
  <c r="G28" i="30" l="1"/>
  <c r="G7" i="9"/>
  <c r="M26" i="30"/>
  <c r="G25" i="9"/>
  <c r="G23" i="30"/>
  <c r="G16" i="9"/>
  <c r="G24" i="30"/>
  <c r="G8" i="9"/>
  <c r="R82" i="20"/>
  <c r="N27" i="30"/>
  <c r="F23" i="30"/>
  <c r="G37" i="9"/>
  <c r="N52" i="30"/>
  <c r="AC5" i="10"/>
  <c r="N56" i="30"/>
  <c r="F30" i="9"/>
  <c r="G56" i="30"/>
  <c r="F56" i="30"/>
  <c r="F20" i="9"/>
  <c r="F52" i="30"/>
  <c r="G29" i="9"/>
  <c r="N55" i="30"/>
  <c r="F26" i="30"/>
  <c r="M24" i="30"/>
  <c r="F36" i="9"/>
  <c r="M51" i="30"/>
  <c r="F25" i="9"/>
  <c r="M52" i="30"/>
  <c r="F26" i="9"/>
  <c r="F25" i="30"/>
  <c r="F7" i="9"/>
  <c r="F27" i="30"/>
  <c r="F9" i="9"/>
  <c r="G51" i="30"/>
  <c r="G15" i="9"/>
  <c r="F51" i="30"/>
  <c r="F15" i="9"/>
  <c r="G18" i="9"/>
  <c r="G54" i="30"/>
  <c r="F39" i="9"/>
  <c r="M27" i="30"/>
  <c r="N54" i="30"/>
  <c r="G28" i="9"/>
  <c r="F24" i="30"/>
  <c r="F6" i="9"/>
  <c r="F10" i="9"/>
  <c r="F28" i="30"/>
  <c r="N53" i="30"/>
  <c r="G27" i="9"/>
  <c r="F17" i="9"/>
  <c r="F53" i="30"/>
  <c r="F18" i="9"/>
  <c r="F54" i="30"/>
  <c r="F27" i="9"/>
  <c r="M53" i="30"/>
  <c r="M54" i="30"/>
  <c r="F28" i="9"/>
  <c r="AQ4" i="10"/>
  <c r="AG4" i="10"/>
  <c r="AE4" i="10"/>
  <c r="AP4" i="10"/>
  <c r="AK4" i="10"/>
  <c r="AF4" i="10"/>
  <c r="AO4" i="10"/>
  <c r="AN4" i="10"/>
  <c r="AI4" i="10"/>
  <c r="AJ4" i="10"/>
  <c r="AD4" i="10"/>
  <c r="AL4" i="10"/>
  <c r="AC6" i="10" l="1"/>
  <c r="AP5" i="10"/>
  <c r="AK6" i="10"/>
  <c r="AG5" i="10"/>
  <c r="AD5" i="10"/>
  <c r="AF6" i="10"/>
  <c r="AO6" i="10"/>
  <c r="AQ5" i="10"/>
  <c r="AO5" i="10"/>
  <c r="AF5" i="10"/>
  <c r="AN6" i="10"/>
  <c r="AJ6" i="10"/>
  <c r="AJ5" i="10"/>
  <c r="AN5" i="10"/>
  <c r="AE6" i="10"/>
  <c r="AQ6" i="10"/>
  <c r="AK5" i="10"/>
  <c r="AI5" i="10"/>
  <c r="AG6" i="10"/>
  <c r="AP6" i="10"/>
  <c r="AI6" i="10"/>
  <c r="AD6" i="10"/>
  <c r="AL6" i="10"/>
  <c r="AL5" i="10"/>
  <c r="AE5" i="10"/>
  <c r="AE13" i="10" l="1"/>
  <c r="AE16" i="10" s="1"/>
  <c r="AE12" i="10"/>
  <c r="AE15" i="10" s="1"/>
  <c r="AF12" i="10"/>
  <c r="AF15" i="10" s="1"/>
  <c r="AF13" i="10"/>
  <c r="AF16" i="10" s="1"/>
  <c r="AG12" i="10"/>
  <c r="AG15" i="10" s="1"/>
  <c r="AG13" i="10"/>
  <c r="AG16" i="10" s="1"/>
  <c r="AD13" i="10"/>
  <c r="AD16" i="10" s="1"/>
  <c r="AD12" i="10"/>
  <c r="AD15" i="10" s="1"/>
</calcChain>
</file>

<file path=xl/sharedStrings.xml><?xml version="1.0" encoding="utf-8"?>
<sst xmlns="http://schemas.openxmlformats.org/spreadsheetml/2006/main" count="974" uniqueCount="408">
  <si>
    <t>QPISlice</t>
  </si>
  <si>
    <t>All</t>
  </si>
  <si>
    <t>Time geomean</t>
  </si>
  <si>
    <t>Time ratio</t>
  </si>
  <si>
    <t>Time sum (hours)</t>
  </si>
  <si>
    <t>Reference</t>
  </si>
  <si>
    <t>Tested</t>
  </si>
  <si>
    <t>kbps</t>
  </si>
  <si>
    <t>Y psnr</t>
  </si>
  <si>
    <t>U psnr</t>
  </si>
  <si>
    <t>V psnr</t>
  </si>
  <si>
    <t>Enc T [s]</t>
  </si>
  <si>
    <t>Dec T [s]</t>
  </si>
  <si>
    <t>Enc T [h]</t>
  </si>
  <si>
    <t>Y</t>
  </si>
  <si>
    <t>U</t>
  </si>
  <si>
    <t>V</t>
  </si>
  <si>
    <t>BD-rate (piecewise cubic)</t>
  </si>
  <si>
    <t>BD-rate (cubic)</t>
  </si>
  <si>
    <t>Note: BD-rate is computed using piece-wise cubic interpolation</t>
  </si>
  <si>
    <t>Reference:</t>
  </si>
  <si>
    <t>Tested:</t>
  </si>
  <si>
    <t>Line 1 - Reference</t>
  </si>
  <si>
    <t>Line 2 - Test</t>
  </si>
  <si>
    <t>Select the coding condition and sequence from the dropbox below</t>
  </si>
  <si>
    <t>rate</t>
  </si>
  <si>
    <t>y</t>
  </si>
  <si>
    <t>u</t>
  </si>
  <si>
    <t>v</t>
  </si>
  <si>
    <t>Line 3 - Reference2</t>
  </si>
  <si>
    <t>Enc</t>
  </si>
  <si>
    <t>Dec</t>
  </si>
  <si>
    <t>EncT</t>
  </si>
  <si>
    <t>DecT</t>
  </si>
  <si>
    <t>4K</t>
  </si>
  <si>
    <t>EncR</t>
  </si>
  <si>
    <t>DecR</t>
  </si>
  <si>
    <t xml:space="preserve">Overall </t>
  </si>
  <si>
    <t>AI-10</t>
  </si>
  <si>
    <t>RA-10</t>
  </si>
  <si>
    <t>LDB-10</t>
  </si>
  <si>
    <t>LDP-10</t>
  </si>
  <si>
    <t>RitualDance</t>
  </si>
  <si>
    <t>MarketPlace</t>
  </si>
  <si>
    <t>Campfire</t>
  </si>
  <si>
    <t>ParkRunning3</t>
    <phoneticPr fontId="9" type="noConversion"/>
  </si>
  <si>
    <t>通甲</t>
    <phoneticPr fontId="9" type="noConversion"/>
  </si>
  <si>
    <t>通乙</t>
    <phoneticPr fontId="9" type="noConversion"/>
  </si>
  <si>
    <t>1080p</t>
    <phoneticPr fontId="9" type="noConversion"/>
  </si>
  <si>
    <t>Cactus</t>
    <phoneticPr fontId="9" type="noConversion"/>
  </si>
  <si>
    <t>BasketballDrive</t>
    <phoneticPr fontId="9" type="noConversion"/>
  </si>
  <si>
    <t>通丙</t>
    <phoneticPr fontId="9" type="noConversion"/>
  </si>
  <si>
    <t>720p</t>
    <phoneticPr fontId="9" type="noConversion"/>
  </si>
  <si>
    <t>City</t>
    <phoneticPr fontId="9" type="noConversion"/>
  </si>
  <si>
    <t>Crew</t>
    <phoneticPr fontId="9" type="noConversion"/>
  </si>
  <si>
    <t>vidyo1</t>
    <phoneticPr fontId="9" type="noConversion"/>
  </si>
  <si>
    <t>vidyo3</t>
    <phoneticPr fontId="9" type="noConversion"/>
  </si>
  <si>
    <t>特甲</t>
    <phoneticPr fontId="9" type="noConversion"/>
  </si>
  <si>
    <t>MetroEntrance</t>
    <phoneticPr fontId="9" type="noConversion"/>
  </si>
  <si>
    <t>NightTraffic3</t>
    <phoneticPr fontId="9" type="noConversion"/>
  </si>
  <si>
    <t>All Intra</t>
    <phoneticPr fontId="1" type="noConversion"/>
  </si>
  <si>
    <t xml:space="preserve">Random Access </t>
    <phoneticPr fontId="1" type="noConversion"/>
  </si>
  <si>
    <t>Low delay B</t>
    <phoneticPr fontId="1" type="noConversion"/>
  </si>
  <si>
    <t xml:space="preserve">Low delay P </t>
    <phoneticPr fontId="1" type="noConversion"/>
  </si>
  <si>
    <t>ParkRunning3</t>
    <phoneticPr fontId="1" type="noConversion"/>
  </si>
  <si>
    <t>Campfire</t>
    <phoneticPr fontId="2" type="noConversion"/>
  </si>
  <si>
    <t>Cactus</t>
    <phoneticPr fontId="1" type="noConversion"/>
  </si>
  <si>
    <t>BasketballDrive</t>
    <phoneticPr fontId="2" type="noConversion"/>
  </si>
  <si>
    <t>MarketPlace</t>
    <phoneticPr fontId="1" type="noConversion"/>
  </si>
  <si>
    <t>RitualDance</t>
    <phoneticPr fontId="1" type="noConversion"/>
  </si>
  <si>
    <t>City</t>
    <phoneticPr fontId="1" type="noConversion"/>
  </si>
  <si>
    <t>Crew</t>
    <phoneticPr fontId="1" type="noConversion"/>
  </si>
  <si>
    <t>Vidyo1</t>
    <phoneticPr fontId="1" type="noConversion"/>
  </si>
  <si>
    <t>Vidyo3</t>
    <phoneticPr fontId="1" type="noConversion"/>
  </si>
  <si>
    <t xml:space="preserve">All Intra Main10 </t>
  </si>
  <si>
    <t xml:space="preserve">Low delay P Main10 </t>
  </si>
  <si>
    <t>Random Access Main 10</t>
  </si>
  <si>
    <t xml:space="preserve">Low delay B Main10 </t>
  </si>
  <si>
    <t>通甲</t>
    <phoneticPr fontId="9" type="noConversion"/>
  </si>
  <si>
    <t>通乙</t>
    <phoneticPr fontId="9" type="noConversion"/>
  </si>
  <si>
    <t>通丙</t>
    <phoneticPr fontId="9" type="noConversion"/>
  </si>
  <si>
    <t>Tango2</t>
  </si>
  <si>
    <t>DaylightRoad2</t>
  </si>
  <si>
    <t>BasketballPass</t>
  </si>
  <si>
    <t>BQSquare</t>
  </si>
  <si>
    <t>BlowingBubbles</t>
  </si>
  <si>
    <t>RaceHorses</t>
  </si>
  <si>
    <t>ClassD</t>
    <phoneticPr fontId="9" type="noConversion"/>
  </si>
  <si>
    <t>ClassD</t>
    <phoneticPr fontId="9" type="noConversion"/>
  </si>
  <si>
    <r>
      <rPr>
        <b/>
        <sz val="9"/>
        <color indexed="8"/>
        <rFont val="宋体"/>
        <family val="3"/>
        <charset val="134"/>
      </rPr>
      <t>特甲</t>
    </r>
    <r>
      <rPr>
        <b/>
        <sz val="9"/>
        <color indexed="8"/>
        <rFont val="Arial"/>
        <family val="2"/>
      </rPr>
      <t xml:space="preserve"> (Optional)</t>
    </r>
    <phoneticPr fontId="9" type="noConversion"/>
  </si>
  <si>
    <r>
      <rPr>
        <sz val="9"/>
        <color indexed="8"/>
        <rFont val="宋体"/>
        <family val="3"/>
        <charset val="134"/>
      </rPr>
      <t>特甲</t>
    </r>
    <r>
      <rPr>
        <sz val="9"/>
        <color indexed="8"/>
        <rFont val="Arial"/>
        <family val="2"/>
      </rPr>
      <t>(Optional)</t>
    </r>
    <phoneticPr fontId="9" type="noConversion"/>
  </si>
  <si>
    <r>
      <rPr>
        <sz val="9"/>
        <color indexed="8"/>
        <rFont val="宋体"/>
        <family val="3"/>
        <charset val="134"/>
      </rPr>
      <t>通乙</t>
    </r>
    <r>
      <rPr>
        <sz val="9"/>
        <color indexed="8"/>
        <rFont val="Arial"/>
        <family val="2"/>
      </rPr>
      <t>1080P</t>
    </r>
    <phoneticPr fontId="1" type="noConversion"/>
  </si>
  <si>
    <r>
      <t>通甲</t>
    </r>
    <r>
      <rPr>
        <sz val="9"/>
        <color indexed="8"/>
        <rFont val="Arial"/>
        <family val="2"/>
      </rPr>
      <t>4K</t>
    </r>
    <phoneticPr fontId="1" type="noConversion"/>
  </si>
  <si>
    <r>
      <t>通丙</t>
    </r>
    <r>
      <rPr>
        <sz val="9"/>
        <color indexed="8"/>
        <rFont val="Arial"/>
        <family val="2"/>
      </rPr>
      <t>720P</t>
    </r>
    <phoneticPr fontId="1" type="noConversion"/>
  </si>
  <si>
    <t>AI_Cactus_qp27</t>
  </si>
  <si>
    <t>AI_Cactus_qp32</t>
  </si>
  <si>
    <t>AI_Cactus_qp38</t>
  </si>
  <si>
    <t>AI_Cactus_qp45</t>
  </si>
  <si>
    <t>AI_BasketballDrive_qp27</t>
  </si>
  <si>
    <t>AI_BasketballDrive_qp32</t>
  </si>
  <si>
    <t>AI_BasketballDrive_qp38</t>
  </si>
  <si>
    <t>AI_BasketballDrive_qp45</t>
  </si>
  <si>
    <t>AI_City_qp27</t>
  </si>
  <si>
    <t>AI_City_qp32</t>
  </si>
  <si>
    <t>AI_City_qp38</t>
  </si>
  <si>
    <t>AI_City_qp45</t>
  </si>
  <si>
    <t>AI_Crew_qp27</t>
  </si>
  <si>
    <t>AI_Crew_qp32</t>
  </si>
  <si>
    <t>AI_Crew_qp38</t>
  </si>
  <si>
    <t>AI_Crew_qp45</t>
  </si>
  <si>
    <t>AI_Vidyo1_qp27</t>
  </si>
  <si>
    <t>AI_Vidyo1_qp32</t>
  </si>
  <si>
    <t>AI_Vidyo1_qp38</t>
  </si>
  <si>
    <t>AI_Vidyo1_qp45</t>
  </si>
  <si>
    <t>AI_Vidyo3_qp27</t>
  </si>
  <si>
    <t>AI_Vidyo3_qp32</t>
  </si>
  <si>
    <t>AI_Vidyo3_qp38</t>
  </si>
  <si>
    <t>AI_Vidyo3_qp45</t>
  </si>
  <si>
    <t>RA_Cactus_qp27</t>
  </si>
  <si>
    <t>RA_Cactus_qp32</t>
  </si>
  <si>
    <t>RA_Cactus_qp38</t>
  </si>
  <si>
    <t>RA_Cactus_qp45</t>
  </si>
  <si>
    <t>RA_BasketballDrive_qp27</t>
  </si>
  <si>
    <t>RA_BasketballDrive_qp32</t>
  </si>
  <si>
    <t>RA_BasketballDrive_qp38</t>
  </si>
  <si>
    <t>RA_BasketballDrive_qp45</t>
  </si>
  <si>
    <t>RA_City_qp27</t>
  </si>
  <si>
    <t>RA_City_qp32</t>
  </si>
  <si>
    <t>RA_City_qp38</t>
  </si>
  <si>
    <t>RA_City_qp45</t>
  </si>
  <si>
    <t>RA_Crew_qp27</t>
  </si>
  <si>
    <t>RA_Crew_qp32</t>
  </si>
  <si>
    <t>RA_Crew_qp38</t>
  </si>
  <si>
    <t>RA_Crew_qp45</t>
  </si>
  <si>
    <t>RA_Vidyo1_qp27</t>
  </si>
  <si>
    <t>RA_Vidyo1_qp32</t>
  </si>
  <si>
    <t>RA_Vidyo1_qp38</t>
  </si>
  <si>
    <t>RA_Vidyo1_qp45</t>
  </si>
  <si>
    <t>RA_Vidyo3_qp27</t>
  </si>
  <si>
    <t>RA_Vidyo3_qp32</t>
  </si>
  <si>
    <t>RA_Vidyo3_qp38</t>
  </si>
  <si>
    <t>RA_Vidyo3_qp45</t>
  </si>
  <si>
    <t>LB_Cactus_qp27</t>
  </si>
  <si>
    <t>LB_Cactus_qp32</t>
  </si>
  <si>
    <t>LB_Cactus_qp38</t>
  </si>
  <si>
    <t>LB_Cactus_qp45</t>
  </si>
  <si>
    <t>LB_BasketballDrive_qp27</t>
  </si>
  <si>
    <t>LB_BasketballDrive_qp32</t>
  </si>
  <si>
    <t>LB_BasketballDrive_qp38</t>
  </si>
  <si>
    <t>LB_BasketballDrive_qp45</t>
  </si>
  <si>
    <t>LB_City_qp27</t>
  </si>
  <si>
    <t>LB_City_qp32</t>
  </si>
  <si>
    <t>LB_City_qp38</t>
  </si>
  <si>
    <t>LB_City_qp45</t>
  </si>
  <si>
    <t>LB_Crew_qp27</t>
  </si>
  <si>
    <t>LB_Crew_qp32</t>
  </si>
  <si>
    <t>LB_Crew_qp38</t>
  </si>
  <si>
    <t>LB_Crew_qp45</t>
  </si>
  <si>
    <t>LB_Vidyo1_qp27</t>
  </si>
  <si>
    <t>LB_Vidyo1_qp32</t>
  </si>
  <si>
    <t>LB_Vidyo1_qp38</t>
  </si>
  <si>
    <t>LB_Vidyo1_qp45</t>
  </si>
  <si>
    <t>LB_Vidyo3_qp27</t>
  </si>
  <si>
    <t>LB_Vidyo3_qp32</t>
  </si>
  <si>
    <t>LB_Vidyo3_qp38</t>
  </si>
  <si>
    <t>LB_Vidyo3_qp45</t>
  </si>
  <si>
    <t>LP_Cactus_qp27</t>
  </si>
  <si>
    <t>LP_Cactus_qp32</t>
  </si>
  <si>
    <t>LP_Cactus_qp38</t>
  </si>
  <si>
    <t>LP_Cactus_qp45</t>
  </si>
  <si>
    <t>LP_BasketballDrive_qp27</t>
  </si>
  <si>
    <t>LP_BasketballDrive_qp32</t>
  </si>
  <si>
    <t>LP_BasketballDrive_qp38</t>
  </si>
  <si>
    <t>LP_BasketballDrive_qp45</t>
  </si>
  <si>
    <t>LP_City_qp27</t>
  </si>
  <si>
    <t>LP_City_qp32</t>
  </si>
  <si>
    <t>LP_City_qp38</t>
  </si>
  <si>
    <t>LP_City_qp45</t>
  </si>
  <si>
    <t>LP_Crew_qp27</t>
  </si>
  <si>
    <t>LP_Crew_qp32</t>
  </si>
  <si>
    <t>LP_Crew_qp38</t>
  </si>
  <si>
    <t>LP_Crew_qp45</t>
  </si>
  <si>
    <t>LP_Vidyo1_qp27</t>
  </si>
  <si>
    <t>LP_Vidyo1_qp32</t>
  </si>
  <si>
    <t>LP_Vidyo1_qp38</t>
  </si>
  <si>
    <t>LP_Vidyo1_qp45</t>
  </si>
  <si>
    <t>LP_Vidyo3_qp27</t>
  </si>
  <si>
    <t>LP_Vidyo3_qp32</t>
  </si>
  <si>
    <t>LP_Vidyo3_qp38</t>
  </si>
  <si>
    <t>LP_Vidyo3_qp45</t>
  </si>
  <si>
    <t>AI_Tango2_qp27</t>
  </si>
  <si>
    <t>AI_Tango2_qp32</t>
  </si>
  <si>
    <t>AI_Tango2_qp38</t>
  </si>
  <si>
    <t>AI_Tango2_qp45</t>
  </si>
  <si>
    <t>AI_ParkRunning3_qp27</t>
  </si>
  <si>
    <t>AI_ParkRunning3_qp32</t>
  </si>
  <si>
    <t>AI_ParkRunning3_qp38</t>
  </si>
  <si>
    <t>AI_ParkRunning3_qp45</t>
  </si>
  <si>
    <t>AI_CampfireParty2_qp27</t>
  </si>
  <si>
    <t>AI_CampfireParty2_qp32</t>
  </si>
  <si>
    <t>AI_CampfireParty2_qp38</t>
  </si>
  <si>
    <t>AI_CampfireParty2_qp45</t>
  </si>
  <si>
    <t>AI_DaylightRoad2_qp27</t>
  </si>
  <si>
    <t>AI_DaylightRoad2_qp32</t>
  </si>
  <si>
    <t>AI_DaylightRoad2_qp38</t>
  </si>
  <si>
    <t>AI_DaylightRoad2_qp45</t>
  </si>
  <si>
    <t>AI_MarketPlace_qp27</t>
  </si>
  <si>
    <t>AI_MarketPlace_qp32</t>
  </si>
  <si>
    <t>AI_MarketPlace_qp38</t>
  </si>
  <si>
    <t>AI_MarketPlace_qp45</t>
  </si>
  <si>
    <t>AI_RitualDance_qp27</t>
  </si>
  <si>
    <t>AI_RitualDance_qp32</t>
  </si>
  <si>
    <t>AI_RitualDance_qp38</t>
  </si>
  <si>
    <t>AI_RitualDance_qp45</t>
  </si>
  <si>
    <t>AI_MetroEntrance_qp27</t>
  </si>
  <si>
    <t>AI_MetroEntrance_qp32</t>
  </si>
  <si>
    <t>AI_MetroEntrance_qp38</t>
  </si>
  <si>
    <t>AI_MetroEntrance_qp45</t>
  </si>
  <si>
    <t>AI_NightTraffic3_qp27</t>
  </si>
  <si>
    <t>AI_NightTraffic3_qp32</t>
  </si>
  <si>
    <t>AI_NightTraffic3_qp38</t>
  </si>
  <si>
    <t>AI_NightTraffic3_qp45</t>
  </si>
  <si>
    <t>RA_Tango2_qp27</t>
  </si>
  <si>
    <t>RA_Tango2_qp32</t>
  </si>
  <si>
    <t>RA_Tango2_qp38</t>
  </si>
  <si>
    <t>RA_Tango2_qp45</t>
  </si>
  <si>
    <t>RA_ParkRunning3_qp27</t>
  </si>
  <si>
    <t>RA_ParkRunning3_qp32</t>
  </si>
  <si>
    <t>RA_ParkRunning3_qp38</t>
  </si>
  <si>
    <t>RA_ParkRunning3_qp45</t>
  </si>
  <si>
    <t>RA_CampfireParty2_qp27</t>
  </si>
  <si>
    <t>RA_CampfireParty2_qp32</t>
  </si>
  <si>
    <t>RA_CampfireParty2_qp38</t>
  </si>
  <si>
    <t>RA_CampfireParty2_qp45</t>
  </si>
  <si>
    <t>RA_DaylightRoad2_qp27</t>
  </si>
  <si>
    <t>RA_DaylightRoad2_qp32</t>
  </si>
  <si>
    <t>RA_DaylightRoad2_qp38</t>
  </si>
  <si>
    <t>RA_DaylightRoad2_qp45</t>
  </si>
  <si>
    <t>RA_MarketPlace_qp27</t>
  </si>
  <si>
    <t>RA_MarketPlace_qp32</t>
  </si>
  <si>
    <t>RA_MarketPlace_qp38</t>
  </si>
  <si>
    <t>RA_MarketPlace_qp45</t>
  </si>
  <si>
    <t>RA_RitualDance_qp27</t>
  </si>
  <si>
    <t>RA_RitualDance_qp32</t>
  </si>
  <si>
    <t>RA_RitualDance_qp38</t>
  </si>
  <si>
    <t>RA_RitualDance_qp45</t>
  </si>
  <si>
    <t>RA_MetroEntrance_qp27</t>
  </si>
  <si>
    <t>RA_MetroEntrance_qp32</t>
  </si>
  <si>
    <t>RA_MetroEntrance_qp38</t>
  </si>
  <si>
    <t>RA_MetroEntrance_qp45</t>
  </si>
  <si>
    <t>RA_NightTraffic3_qp27</t>
  </si>
  <si>
    <t>RA_NightTraffic3_qp32</t>
  </si>
  <si>
    <t>RA_NightTraffic3_qp38</t>
  </si>
  <si>
    <t>RA_NightTraffic3_qp45</t>
  </si>
  <si>
    <t>LB_Tango2_qp27</t>
  </si>
  <si>
    <t>LB_Tango2_qp32</t>
  </si>
  <si>
    <t>LB_Tango2_qp38</t>
  </si>
  <si>
    <t>LB_Tango2_qp45</t>
  </si>
  <si>
    <t>LB_ParkRunning3_qp27</t>
  </si>
  <si>
    <t>LB_ParkRunning3_qp32</t>
  </si>
  <si>
    <t>LB_ParkRunning3_qp38</t>
  </si>
  <si>
    <t>LB_ParkRunning3_qp45</t>
  </si>
  <si>
    <t>LB_CampfireParty2_qp27</t>
  </si>
  <si>
    <t>LB_CampfireParty2_qp32</t>
  </si>
  <si>
    <t>LB_CampfireParty2_qp38</t>
  </si>
  <si>
    <t>LB_CampfireParty2_qp45</t>
  </si>
  <si>
    <t>LB_DaylightRoad2_qp27</t>
  </si>
  <si>
    <t>LB_DaylightRoad2_qp32</t>
  </si>
  <si>
    <t>LB_DaylightRoad2_qp38</t>
  </si>
  <si>
    <t>LB_DaylightRoad2_qp45</t>
  </si>
  <si>
    <t>LB_MarketPlace_qp27</t>
  </si>
  <si>
    <t>LB_MarketPlace_qp32</t>
  </si>
  <si>
    <t>LB_MarketPlace_qp38</t>
  </si>
  <si>
    <t>LB_MarketPlace_qp45</t>
  </si>
  <si>
    <t>LB_RitualDance_qp27</t>
  </si>
  <si>
    <t>LB_RitualDance_qp32</t>
  </si>
  <si>
    <t>LB_RitualDance_qp38</t>
  </si>
  <si>
    <t>LB_RitualDance_qp45</t>
  </si>
  <si>
    <t>LB_MetroEntrance_qp27</t>
  </si>
  <si>
    <t>LB_MetroEntrance_qp32</t>
  </si>
  <si>
    <t>LB_MetroEntrance_qp38</t>
  </si>
  <si>
    <t>LB_MetroEntrance_qp45</t>
  </si>
  <si>
    <t>LB_NightTraffic3_qp27</t>
  </si>
  <si>
    <t>LB_NightTraffic3_qp32</t>
  </si>
  <si>
    <t>LB_NightTraffic3_qp38</t>
  </si>
  <si>
    <t>LB_NightTraffic3_qp45</t>
  </si>
  <si>
    <t>LP_Tango2_qp27</t>
  </si>
  <si>
    <t>LP_Tango2_qp32</t>
  </si>
  <si>
    <t>LP_Tango2_qp38</t>
  </si>
  <si>
    <t>LP_Tango2_qp45</t>
  </si>
  <si>
    <t>LP_ParkRunning3_qp27</t>
  </si>
  <si>
    <t>LP_ParkRunning3_qp32</t>
  </si>
  <si>
    <t>LP_ParkRunning3_qp38</t>
  </si>
  <si>
    <t>LP_ParkRunning3_qp45</t>
  </si>
  <si>
    <t>LP_CampfireParty2_qp27</t>
  </si>
  <si>
    <t>LP_CampfireParty2_qp32</t>
  </si>
  <si>
    <t>LP_CampfireParty2_qp38</t>
  </si>
  <si>
    <t>LP_CampfireParty2_qp45</t>
  </si>
  <si>
    <t>LP_DaylightRoad2_qp27</t>
  </si>
  <si>
    <t>LP_DaylightRoad2_qp32</t>
  </si>
  <si>
    <t>LP_DaylightRoad2_qp38</t>
  </si>
  <si>
    <t>LP_DaylightRoad2_qp45</t>
  </si>
  <si>
    <t>LP_MarketPlace_qp27</t>
  </si>
  <si>
    <t>LP_MarketPlace_qp32</t>
  </si>
  <si>
    <t>LP_MarketPlace_qp38</t>
  </si>
  <si>
    <t>LP_MarketPlace_qp45</t>
  </si>
  <si>
    <t>LP_RitualDance_qp27</t>
  </si>
  <si>
    <t>LP_RitualDance_qp32</t>
  </si>
  <si>
    <t>LP_RitualDance_qp38</t>
  </si>
  <si>
    <t>LP_RitualDance_qp45</t>
  </si>
  <si>
    <t>LP_MetroEntrance_qp27</t>
  </si>
  <si>
    <t>LP_MetroEntrance_qp32</t>
  </si>
  <si>
    <t>LP_MetroEntrance_qp38</t>
  </si>
  <si>
    <t>LP_MetroEntrance_qp45</t>
  </si>
  <si>
    <t>LP_NightTraffic3_qp27</t>
  </si>
  <si>
    <t>LP_NightTraffic3_qp32</t>
  </si>
  <si>
    <t>LP_NightTraffic3_qp38</t>
  </si>
  <si>
    <t>LP_NightTraffic3_qp45</t>
  </si>
  <si>
    <t>AI_FlyingGraphics_qp27</t>
  </si>
  <si>
    <t>AI_FlyingGraphics_qp32</t>
  </si>
  <si>
    <t>AI_FlyingGraphics_qp38</t>
  </si>
  <si>
    <t>AI_FlyingGraphics_qp45</t>
  </si>
  <si>
    <t>AI_Desktop_qp27</t>
  </si>
  <si>
    <t>AI_Desktop_qp32</t>
  </si>
  <si>
    <t>AI_Desktop_qp38</t>
  </si>
  <si>
    <t>AI_Desktop_qp45</t>
  </si>
  <si>
    <t>AI_ArenaOfValor_qp27</t>
  </si>
  <si>
    <t>AI_ArenaOfValor_qp32</t>
  </si>
  <si>
    <t>AI_ArenaOfValor_qp38</t>
  </si>
  <si>
    <t>AI_ArenaOfValor_qp45</t>
  </si>
  <si>
    <t>AI_program_vidyo_qp27</t>
  </si>
  <si>
    <t>AI_program_vidyo_qp32</t>
  </si>
  <si>
    <t>AI_program_vidyo_qp38</t>
  </si>
  <si>
    <t>AI_program_vidyo_qp45</t>
  </si>
  <si>
    <t>RA_FlyingGraphics_qp27</t>
  </si>
  <si>
    <t>RA_FlyingGraphics_qp32</t>
  </si>
  <si>
    <t>RA_FlyingGraphics_qp38</t>
  </si>
  <si>
    <t>RA_FlyingGraphics_qp45</t>
  </si>
  <si>
    <t>RA_Desktop_qp27</t>
  </si>
  <si>
    <t>RA_Desktop_qp32</t>
  </si>
  <si>
    <t>RA_Desktop_qp38</t>
  </si>
  <si>
    <t>RA_Desktop_qp45</t>
  </si>
  <si>
    <t>RA_ArenaOfValor_qp27</t>
  </si>
  <si>
    <t>RA_ArenaOfValor_qp32</t>
  </si>
  <si>
    <t>RA_ArenaOfValor_qp38</t>
  </si>
  <si>
    <t>RA_ArenaOfValor_qp45</t>
  </si>
  <si>
    <t>RA_program_vidyo_qp27</t>
  </si>
  <si>
    <t>RA_program_vidyo_qp32</t>
  </si>
  <si>
    <t>RA_program_vidyo_qp38</t>
  </si>
  <si>
    <t>RA_program_vidyo_qp45</t>
  </si>
  <si>
    <t>LB_FlyingGraphics_qp27</t>
  </si>
  <si>
    <t>LB_FlyingGraphics_qp32</t>
  </si>
  <si>
    <t>LB_FlyingGraphics_qp38</t>
  </si>
  <si>
    <t>LB_FlyingGraphics_qp45</t>
  </si>
  <si>
    <t>LB_Desktop_qp27</t>
  </si>
  <si>
    <t>LB_Desktop_qp32</t>
  </si>
  <si>
    <t>LB_Desktop_qp38</t>
  </si>
  <si>
    <t>LB_Desktop_qp45</t>
  </si>
  <si>
    <t>LB_ArenaOfValor_qp27</t>
  </si>
  <si>
    <t>LB_ArenaOfValor_qp32</t>
  </si>
  <si>
    <t>LB_ArenaOfValor_qp38</t>
  </si>
  <si>
    <t>LB_ArenaOfValor_qp45</t>
  </si>
  <si>
    <t>LB_program_vidyo_qp27</t>
  </si>
  <si>
    <t>LB_program_vidyo_qp32</t>
  </si>
  <si>
    <t>LB_program_vidyo_qp38</t>
  </si>
  <si>
    <t>LB_program_vidyo_qp45</t>
  </si>
  <si>
    <r>
      <rPr>
        <sz val="9"/>
        <color indexed="8"/>
        <rFont val="宋体"/>
        <family val="3"/>
        <charset val="134"/>
      </rPr>
      <t>特乙</t>
    </r>
    <r>
      <rPr>
        <sz val="9"/>
        <color indexed="8"/>
        <rFont val="Arial"/>
        <family val="2"/>
      </rPr>
      <t xml:space="preserve"> (Optional)</t>
    </r>
    <phoneticPr fontId="9" type="noConversion"/>
  </si>
  <si>
    <t>FlyingGraphics</t>
  </si>
  <si>
    <t>Desktop</t>
  </si>
  <si>
    <t>ArenaOfValor</t>
  </si>
  <si>
    <t>program_vidyo</t>
  </si>
  <si>
    <t>特乙</t>
    <phoneticPr fontId="9" type="noConversion"/>
  </si>
  <si>
    <t>SCC</t>
    <phoneticPr fontId="9" type="noConversion"/>
  </si>
  <si>
    <r>
      <t>特乙</t>
    </r>
    <r>
      <rPr>
        <b/>
        <sz val="9"/>
        <color indexed="8"/>
        <rFont val="Arial"/>
        <family val="2"/>
      </rPr>
      <t xml:space="preserve"> (Optional)</t>
    </r>
  </si>
  <si>
    <t>LP_BasketballPass_qp27</t>
  </si>
  <si>
    <t>LP_BasketballPass_qp32</t>
  </si>
  <si>
    <t>LP_BasketballPass_qp38</t>
  </si>
  <si>
    <t>LP_BasketballPass_qp45</t>
  </si>
  <si>
    <t>LP_BQSquare_qp27</t>
  </si>
  <si>
    <t>LP_BQSquare_qp32</t>
  </si>
  <si>
    <t>LP_BQSquare_qp38</t>
  </si>
  <si>
    <t>LP_BQSquare_qp45</t>
  </si>
  <si>
    <t>LP_BlowingBubbles_qp27</t>
  </si>
  <si>
    <t>LP_BlowingBubbles_qp32</t>
  </si>
  <si>
    <t>LP_BlowingBubbles_qp38</t>
  </si>
  <si>
    <t>LP_BlowingBubbles_qp45</t>
  </si>
  <si>
    <t>LP_RaceHorses_qp27</t>
  </si>
  <si>
    <t>LP_RaceHorses_qp32</t>
  </si>
  <si>
    <t>LP_RaceHorses_qp38</t>
  </si>
  <si>
    <t>LP_RaceHorses_qp45</t>
  </si>
  <si>
    <t>LP_FlyingGraphics_qp27</t>
  </si>
  <si>
    <t>LP_FlyingGraphics_qp32</t>
  </si>
  <si>
    <t>LP_FlyingGraphics_qp38</t>
  </si>
  <si>
    <t>LP_FlyingGraphics_qp45</t>
  </si>
  <si>
    <t>LP_Desktop_qp27</t>
  </si>
  <si>
    <t>LP_Desktop_qp32</t>
  </si>
  <si>
    <t>LP_Desktop_qp38</t>
  </si>
  <si>
    <t>LP_Desktop_qp45</t>
  </si>
  <si>
    <t>LP_ArenaOfValor_qp27</t>
  </si>
  <si>
    <t>LP_ArenaOfValor_qp32</t>
  </si>
  <si>
    <t>LP_ArenaOfValor_qp38</t>
  </si>
  <si>
    <t>LP_ArenaOfValor_qp45</t>
  </si>
  <si>
    <t>LP_program_vidyo_qp27</t>
  </si>
  <si>
    <t>LP_program_vidyo_qp32</t>
  </si>
  <si>
    <t>LP_program_vidyo_qp38</t>
  </si>
  <si>
    <t>LP_program_vidyo_qp45</t>
  </si>
  <si>
    <t>HPM8.0</t>
    <phoneticPr fontId="1" type="noConversion"/>
  </si>
  <si>
    <t>HPM8.1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</si>
</sst>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_ "/>
    <numFmt numFmtId="177" formatCode="0.0"/>
  </numFmts>
  <fonts count="14" x14ac:knownFonts="1">
    <font>
      <sz val="12"/>
      <color theme="1"/>
      <name val="宋体"/>
      <family val="2"/>
      <charset val="129"/>
      <scheme val="minor"/>
    </font>
    <font>
      <sz val="8"/>
      <name val="Calibri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sz val="10"/>
      <color indexed="8"/>
      <name val="Calibri"/>
      <family val="2"/>
    </font>
    <font>
      <sz val="12"/>
      <color theme="1"/>
      <name val="宋体"/>
      <family val="2"/>
      <scheme val="minor"/>
    </font>
    <font>
      <b/>
      <u/>
      <sz val="9"/>
      <color indexed="8"/>
      <name val="Arial"/>
      <family val="2"/>
    </font>
    <font>
      <u/>
      <sz val="12"/>
      <color theme="10"/>
      <name val="宋体"/>
      <family val="2"/>
      <charset val="129"/>
      <scheme val="minor"/>
    </font>
    <font>
      <u/>
      <sz val="12"/>
      <color theme="1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"/>
      <name val="宋体"/>
      <family val="3"/>
      <charset val="134"/>
    </font>
    <font>
      <sz val="9"/>
      <color indexed="8"/>
      <name val="Arial"/>
      <family val="3"/>
      <charset val="134"/>
    </font>
    <font>
      <b/>
      <sz val="9"/>
      <color indexed="8"/>
      <name val="宋体"/>
      <family val="3"/>
      <charset val="134"/>
    </font>
    <font>
      <sz val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</fills>
  <borders count="2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5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5" fillId="0" borderId="0"/>
    <xf numFmtId="0" fontId="13" fillId="0" borderId="0">
      <alignment vertical="center"/>
    </xf>
  </cellStyleXfs>
  <cellXfs count="15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1" xfId="0" applyFont="1" applyBorder="1"/>
    <xf numFmtId="0" fontId="2" fillId="0" borderId="2" xfId="0" applyFont="1" applyBorder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0" borderId="6" xfId="0" applyFont="1" applyBorder="1"/>
    <xf numFmtId="176" fontId="2" fillId="2" borderId="3" xfId="0" applyNumberFormat="1" applyFont="1" applyFill="1" applyBorder="1"/>
    <xf numFmtId="176" fontId="2" fillId="2" borderId="4" xfId="0" applyNumberFormat="1" applyFont="1" applyFill="1" applyBorder="1"/>
    <xf numFmtId="176" fontId="2" fillId="2" borderId="5" xfId="0" applyNumberFormat="1" applyFont="1" applyFill="1" applyBorder="1"/>
    <xf numFmtId="2" fontId="2" fillId="0" borderId="0" xfId="0" applyNumberFormat="1" applyFont="1"/>
    <xf numFmtId="0" fontId="2" fillId="0" borderId="7" xfId="0" applyFont="1" applyBorder="1"/>
    <xf numFmtId="176" fontId="2" fillId="2" borderId="8" xfId="0" applyNumberFormat="1" applyFont="1" applyFill="1" applyBorder="1"/>
    <xf numFmtId="176" fontId="2" fillId="2" borderId="0" xfId="0" applyNumberFormat="1" applyFont="1" applyFill="1" applyBorder="1"/>
    <xf numFmtId="176" fontId="2" fillId="2" borderId="9" xfId="0" applyNumberFormat="1" applyFont="1" applyFill="1" applyBorder="1"/>
    <xf numFmtId="0" fontId="2" fillId="0" borderId="0" xfId="0" applyFont="1" applyBorder="1"/>
    <xf numFmtId="0" fontId="2" fillId="0" borderId="10" xfId="0" applyFont="1" applyBorder="1"/>
    <xf numFmtId="176" fontId="2" fillId="2" borderId="11" xfId="0" applyNumberFormat="1" applyFont="1" applyFill="1" applyBorder="1"/>
    <xf numFmtId="176" fontId="2" fillId="2" borderId="12" xfId="0" applyNumberFormat="1" applyFont="1" applyFill="1" applyBorder="1"/>
    <xf numFmtId="176" fontId="2" fillId="2" borderId="13" xfId="0" applyNumberFormat="1" applyFont="1" applyFill="1" applyBorder="1"/>
    <xf numFmtId="10" fontId="2" fillId="0" borderId="0" xfId="0" applyNumberFormat="1" applyFont="1" applyBorder="1"/>
    <xf numFmtId="176" fontId="2" fillId="0" borderId="0" xfId="0" applyNumberFormat="1" applyFont="1"/>
    <xf numFmtId="9" fontId="2" fillId="0" borderId="0" xfId="0" applyNumberFormat="1" applyFont="1"/>
    <xf numFmtId="0" fontId="3" fillId="0" borderId="0" xfId="0" applyFont="1"/>
    <xf numFmtId="0" fontId="0" fillId="3" borderId="0" xfId="0" applyFill="1"/>
    <xf numFmtId="0" fontId="0" fillId="0" borderId="0" xfId="0" applyBorder="1"/>
    <xf numFmtId="2" fontId="4" fillId="0" borderId="0" xfId="0" applyNumberFormat="1" applyFont="1"/>
    <xf numFmtId="0" fontId="4" fillId="0" borderId="0" xfId="0" applyFont="1"/>
    <xf numFmtId="177" fontId="4" fillId="0" borderId="0" xfId="0" applyNumberFormat="1" applyFont="1"/>
    <xf numFmtId="0" fontId="2" fillId="0" borderId="7" xfId="0" applyFont="1" applyFill="1" applyBorder="1"/>
    <xf numFmtId="0" fontId="3" fillId="0" borderId="0" xfId="0" applyFont="1" applyBorder="1" applyAlignment="1">
      <alignment horizontal="center"/>
    </xf>
    <xf numFmtId="0" fontId="3" fillId="0" borderId="0" xfId="0" applyFont="1" applyBorder="1"/>
    <xf numFmtId="10" fontId="2" fillId="0" borderId="3" xfId="0" applyNumberFormat="1" applyFont="1" applyBorder="1" applyAlignment="1">
      <alignment horizontal="center"/>
    </xf>
    <xf numFmtId="10" fontId="2" fillId="0" borderId="8" xfId="0" applyNumberFormat="1" applyFont="1" applyBorder="1"/>
    <xf numFmtId="10" fontId="2" fillId="0" borderId="11" xfId="0" applyNumberFormat="1" applyFont="1" applyBorder="1"/>
    <xf numFmtId="10" fontId="2" fillId="0" borderId="8" xfId="0" applyNumberFormat="1" applyFont="1" applyBorder="1" applyAlignment="1">
      <alignment horizontal="center"/>
    </xf>
    <xf numFmtId="10" fontId="2" fillId="0" borderId="1" xfId="0" applyNumberFormat="1" applyFont="1" applyBorder="1" applyAlignment="1">
      <alignment horizontal="center"/>
    </xf>
    <xf numFmtId="10" fontId="2" fillId="0" borderId="4" xfId="0" applyNumberFormat="1" applyFont="1" applyBorder="1" applyAlignment="1">
      <alignment horizontal="center"/>
    </xf>
    <xf numFmtId="10" fontId="2" fillId="0" borderId="5" xfId="0" applyNumberFormat="1" applyFont="1" applyBorder="1" applyAlignment="1">
      <alignment horizontal="center"/>
    </xf>
    <xf numFmtId="10" fontId="2" fillId="0" borderId="0" xfId="0" applyNumberFormat="1" applyFont="1" applyBorder="1" applyAlignment="1">
      <alignment horizontal="center"/>
    </xf>
    <xf numFmtId="10" fontId="2" fillId="0" borderId="9" xfId="0" applyNumberFormat="1" applyFont="1" applyBorder="1" applyAlignment="1">
      <alignment horizontal="center"/>
    </xf>
    <xf numFmtId="10" fontId="2" fillId="0" borderId="2" xfId="0" applyNumberFormat="1" applyFont="1" applyBorder="1" applyAlignment="1">
      <alignment horizontal="center"/>
    </xf>
    <xf numFmtId="10" fontId="2" fillId="0" borderId="14" xfId="0" applyNumberFormat="1" applyFont="1" applyBorder="1" applyAlignment="1">
      <alignment horizontal="center"/>
    </xf>
    <xf numFmtId="0" fontId="2" fillId="0" borderId="5" xfId="0" applyFont="1" applyBorder="1"/>
    <xf numFmtId="0" fontId="2" fillId="0" borderId="4" xfId="0" applyFont="1" applyBorder="1"/>
    <xf numFmtId="10" fontId="2" fillId="0" borderId="9" xfId="0" applyNumberFormat="1" applyFont="1" applyBorder="1"/>
    <xf numFmtId="10" fontId="2" fillId="0" borderId="12" xfId="0" applyNumberFormat="1" applyFont="1" applyBorder="1"/>
    <xf numFmtId="10" fontId="2" fillId="0" borderId="13" xfId="0" applyNumberFormat="1" applyFont="1" applyBorder="1"/>
    <xf numFmtId="0" fontId="2" fillId="0" borderId="3" xfId="0" applyFont="1" applyBorder="1"/>
    <xf numFmtId="2" fontId="2" fillId="0" borderId="2" xfId="0" applyNumberFormat="1" applyFont="1" applyBorder="1"/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0" fontId="2" fillId="0" borderId="3" xfId="0" applyNumberFormat="1" applyFont="1" applyBorder="1" applyAlignment="1">
      <alignment horizontal="center" vertical="center"/>
    </xf>
    <xf numFmtId="10" fontId="2" fillId="0" borderId="4" xfId="0" applyNumberFormat="1" applyFont="1" applyBorder="1" applyAlignment="1">
      <alignment horizontal="center" vertical="center"/>
    </xf>
    <xf numFmtId="10" fontId="2" fillId="0" borderId="17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9" fontId="2" fillId="0" borderId="5" xfId="0" applyNumberFormat="1" applyFont="1" applyBorder="1" applyAlignment="1">
      <alignment horizontal="center" vertical="center"/>
    </xf>
    <xf numFmtId="10" fontId="2" fillId="0" borderId="8" xfId="0" applyNumberFormat="1" applyFont="1" applyBorder="1" applyAlignment="1">
      <alignment horizontal="center" vertical="center"/>
    </xf>
    <xf numFmtId="10" fontId="2" fillId="0" borderId="0" xfId="0" applyNumberFormat="1" applyFont="1" applyBorder="1" applyAlignment="1">
      <alignment horizontal="center" vertical="center"/>
    </xf>
    <xf numFmtId="10" fontId="2" fillId="0" borderId="19" xfId="0" applyNumberFormat="1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9" fontId="2" fillId="0" borderId="9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/>
    <xf numFmtId="10" fontId="2" fillId="0" borderId="3" xfId="1" applyNumberFormat="1" applyFont="1" applyBorder="1" applyAlignment="1">
      <alignment horizontal="center"/>
    </xf>
    <xf numFmtId="10" fontId="2" fillId="0" borderId="4" xfId="1" applyNumberFormat="1" applyFont="1" applyBorder="1" applyAlignment="1">
      <alignment horizontal="center"/>
    </xf>
    <xf numFmtId="10" fontId="2" fillId="0" borderId="5" xfId="1" applyNumberFormat="1" applyFont="1" applyBorder="1" applyAlignment="1">
      <alignment horizontal="center"/>
    </xf>
    <xf numFmtId="10" fontId="2" fillId="0" borderId="8" xfId="1" applyNumberFormat="1" applyFont="1" applyBorder="1"/>
    <xf numFmtId="10" fontId="2" fillId="0" borderId="0" xfId="1" applyNumberFormat="1" applyFont="1" applyBorder="1"/>
    <xf numFmtId="10" fontId="2" fillId="0" borderId="9" xfId="1" applyNumberFormat="1" applyFont="1" applyBorder="1"/>
    <xf numFmtId="10" fontId="2" fillId="0" borderId="11" xfId="1" applyNumberFormat="1" applyFont="1" applyBorder="1"/>
    <xf numFmtId="10" fontId="2" fillId="0" borderId="12" xfId="1" applyNumberFormat="1" applyFont="1" applyBorder="1"/>
    <xf numFmtId="10" fontId="2" fillId="0" borderId="13" xfId="1" applyNumberFormat="1" applyFont="1" applyBorder="1"/>
    <xf numFmtId="0" fontId="3" fillId="0" borderId="6" xfId="0" applyFont="1" applyBorder="1" applyAlignment="1">
      <alignment horizontal="center" vertical="center"/>
    </xf>
    <xf numFmtId="0" fontId="6" fillId="0" borderId="0" xfId="0" applyFont="1"/>
    <xf numFmtId="0" fontId="2" fillId="0" borderId="9" xfId="0" applyFont="1" applyFill="1" applyBorder="1"/>
    <xf numFmtId="0" fontId="2" fillId="0" borderId="13" xfId="0" applyFont="1" applyFill="1" applyBorder="1"/>
    <xf numFmtId="0" fontId="2" fillId="0" borderId="9" xfId="0" applyFont="1" applyBorder="1"/>
    <xf numFmtId="0" fontId="2" fillId="0" borderId="13" xfId="0" applyFont="1" applyBorder="1"/>
    <xf numFmtId="0" fontId="2" fillId="0" borderId="5" xfId="0" applyFont="1" applyFill="1" applyBorder="1"/>
    <xf numFmtId="0" fontId="10" fillId="0" borderId="6" xfId="0" applyFont="1" applyBorder="1"/>
    <xf numFmtId="0" fontId="10" fillId="0" borderId="0" xfId="0" applyFont="1"/>
    <xf numFmtId="2" fontId="2" fillId="0" borderId="5" xfId="0" applyNumberFormat="1" applyFont="1" applyBorder="1"/>
    <xf numFmtId="2" fontId="2" fillId="0" borderId="9" xfId="0" applyNumberFormat="1" applyFont="1" applyBorder="1"/>
    <xf numFmtId="2" fontId="2" fillId="0" borderId="13" xfId="0" applyNumberFormat="1" applyFont="1" applyBorder="1"/>
    <xf numFmtId="0" fontId="10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10" fontId="2" fillId="0" borderId="1" xfId="0" applyNumberFormat="1" applyFont="1" applyBorder="1" applyAlignment="1">
      <alignment horizontal="center" vertical="center"/>
    </xf>
    <xf numFmtId="10" fontId="2" fillId="0" borderId="2" xfId="0" applyNumberFormat="1" applyFont="1" applyBorder="1" applyAlignment="1">
      <alignment horizontal="center" vertical="center"/>
    </xf>
    <xf numFmtId="10" fontId="2" fillId="0" borderId="14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2" fillId="0" borderId="22" xfId="0" applyNumberFormat="1" applyFont="1" applyBorder="1" applyAlignment="1">
      <alignment horizontal="center" vertical="center"/>
    </xf>
    <xf numFmtId="0" fontId="2" fillId="0" borderId="0" xfId="6" applyFont="1" applyAlignment="1">
      <alignment horizontal="center" vertical="center"/>
    </xf>
    <xf numFmtId="0" fontId="2" fillId="0" borderId="0" xfId="6" applyFont="1"/>
    <xf numFmtId="0" fontId="3" fillId="0" borderId="0" xfId="6" applyFont="1"/>
    <xf numFmtId="0" fontId="2" fillId="0" borderId="11" xfId="6" applyFont="1" applyBorder="1" applyAlignment="1">
      <alignment horizontal="center" vertical="center"/>
    </xf>
    <xf numFmtId="0" fontId="2" fillId="0" borderId="12" xfId="6" applyFont="1" applyBorder="1" applyAlignment="1">
      <alignment horizontal="center" vertical="center"/>
    </xf>
    <xf numFmtId="0" fontId="2" fillId="0" borderId="15" xfId="6" applyFont="1" applyBorder="1" applyAlignment="1">
      <alignment horizontal="center" vertical="center"/>
    </xf>
    <xf numFmtId="0" fontId="2" fillId="0" borderId="16" xfId="6" applyFont="1" applyBorder="1" applyAlignment="1">
      <alignment horizontal="center" vertical="center"/>
    </xf>
    <xf numFmtId="0" fontId="2" fillId="0" borderId="13" xfId="6" applyFont="1" applyBorder="1" applyAlignment="1">
      <alignment horizontal="center" vertical="center"/>
    </xf>
    <xf numFmtId="0" fontId="3" fillId="0" borderId="6" xfId="6" applyFont="1" applyBorder="1" applyAlignment="1">
      <alignment horizontal="left" vertical="center"/>
    </xf>
    <xf numFmtId="10" fontId="2" fillId="0" borderId="3" xfId="6" applyNumberFormat="1" applyFont="1" applyBorder="1" applyAlignment="1">
      <alignment horizontal="center" vertical="center"/>
    </xf>
    <xf numFmtId="10" fontId="2" fillId="0" borderId="4" xfId="6" applyNumberFormat="1" applyFont="1" applyBorder="1" applyAlignment="1">
      <alignment horizontal="center" vertical="center"/>
    </xf>
    <xf numFmtId="10" fontId="2" fillId="0" borderId="17" xfId="6" applyNumberFormat="1" applyFont="1" applyBorder="1" applyAlignment="1">
      <alignment horizontal="center" vertical="center"/>
    </xf>
    <xf numFmtId="9" fontId="2" fillId="0" borderId="4" xfId="6" applyNumberFormat="1" applyFont="1" applyBorder="1" applyAlignment="1">
      <alignment horizontal="center" vertical="center"/>
    </xf>
    <xf numFmtId="9" fontId="2" fillId="0" borderId="5" xfId="6" applyNumberFormat="1" applyFont="1" applyBorder="1" applyAlignment="1">
      <alignment horizontal="center" vertical="center"/>
    </xf>
    <xf numFmtId="0" fontId="3" fillId="0" borderId="7" xfId="6" applyFont="1" applyBorder="1" applyAlignment="1">
      <alignment horizontal="left" vertical="center"/>
    </xf>
    <xf numFmtId="10" fontId="2" fillId="0" borderId="8" xfId="6" applyNumberFormat="1" applyFont="1" applyBorder="1" applyAlignment="1">
      <alignment horizontal="center" vertical="center"/>
    </xf>
    <xf numFmtId="10" fontId="2" fillId="0" borderId="0" xfId="6" applyNumberFormat="1" applyFont="1" applyBorder="1" applyAlignment="1">
      <alignment horizontal="center" vertical="center"/>
    </xf>
    <xf numFmtId="10" fontId="2" fillId="0" borderId="19" xfId="6" applyNumberFormat="1" applyFont="1" applyBorder="1" applyAlignment="1">
      <alignment horizontal="center" vertical="center"/>
    </xf>
    <xf numFmtId="9" fontId="2" fillId="0" borderId="0" xfId="6" applyNumberFormat="1" applyFont="1" applyBorder="1" applyAlignment="1">
      <alignment horizontal="center" vertical="center"/>
    </xf>
    <xf numFmtId="9" fontId="2" fillId="0" borderId="9" xfId="6" applyNumberFormat="1" applyFont="1" applyBorder="1" applyAlignment="1">
      <alignment horizontal="center" vertical="center"/>
    </xf>
    <xf numFmtId="0" fontId="3" fillId="0" borderId="10" xfId="6" applyFont="1" applyBorder="1" applyAlignment="1">
      <alignment horizontal="left" vertical="center"/>
    </xf>
    <xf numFmtId="10" fontId="2" fillId="0" borderId="11" xfId="6" applyNumberFormat="1" applyFont="1" applyBorder="1" applyAlignment="1">
      <alignment horizontal="center" vertical="center"/>
    </xf>
    <xf numFmtId="10" fontId="2" fillId="0" borderId="12" xfId="6" applyNumberFormat="1" applyFont="1" applyBorder="1" applyAlignment="1">
      <alignment horizontal="center" vertical="center"/>
    </xf>
    <xf numFmtId="10" fontId="2" fillId="0" borderId="15" xfId="6" applyNumberFormat="1" applyFont="1" applyBorder="1" applyAlignment="1">
      <alignment horizontal="center" vertical="center"/>
    </xf>
    <xf numFmtId="9" fontId="2" fillId="0" borderId="12" xfId="6" applyNumberFormat="1" applyFont="1" applyBorder="1" applyAlignment="1">
      <alignment horizontal="center" vertical="center"/>
    </xf>
    <xf numFmtId="9" fontId="2" fillId="0" borderId="13" xfId="6" applyNumberFormat="1" applyFont="1" applyBorder="1" applyAlignment="1">
      <alignment horizontal="center" vertical="center"/>
    </xf>
    <xf numFmtId="9" fontId="2" fillId="0" borderId="18" xfId="6" applyNumberFormat="1" applyFont="1" applyBorder="1" applyAlignment="1">
      <alignment horizontal="center" vertical="center"/>
    </xf>
    <xf numFmtId="10" fontId="2" fillId="0" borderId="0" xfId="6" applyNumberFormat="1" applyFont="1" applyBorder="1"/>
    <xf numFmtId="9" fontId="2" fillId="0" borderId="20" xfId="6" applyNumberFormat="1" applyFont="1" applyBorder="1" applyAlignment="1">
      <alignment horizontal="center" vertical="center"/>
    </xf>
    <xf numFmtId="0" fontId="2" fillId="0" borderId="0" xfId="6" applyFont="1" applyBorder="1"/>
    <xf numFmtId="0" fontId="12" fillId="0" borderId="6" xfId="6" applyFont="1" applyBorder="1" applyAlignment="1">
      <alignment horizontal="center" vertical="center"/>
    </xf>
    <xf numFmtId="0" fontId="12" fillId="0" borderId="7" xfId="6" applyFont="1" applyBorder="1" applyAlignment="1">
      <alignment horizontal="center" vertical="center"/>
    </xf>
    <xf numFmtId="9" fontId="2" fillId="0" borderId="14" xfId="6" applyNumberFormat="1" applyFont="1" applyBorder="1" applyAlignment="1">
      <alignment horizontal="center" vertical="center"/>
    </xf>
    <xf numFmtId="9" fontId="2" fillId="0" borderId="24" xfId="6" applyNumberFormat="1" applyFont="1" applyBorder="1" applyAlignment="1">
      <alignment horizontal="center" vertical="center"/>
    </xf>
    <xf numFmtId="10" fontId="2" fillId="0" borderId="23" xfId="6" applyNumberFormat="1" applyFont="1" applyBorder="1" applyAlignment="1">
      <alignment horizontal="center" vertical="center"/>
    </xf>
    <xf numFmtId="10" fontId="2" fillId="0" borderId="2" xfId="6" applyNumberFormat="1" applyFont="1" applyBorder="1" applyAlignment="1">
      <alignment horizontal="center" vertical="center"/>
    </xf>
    <xf numFmtId="10" fontId="2" fillId="0" borderId="1" xfId="6" applyNumberFormat="1" applyFont="1" applyBorder="1" applyAlignment="1">
      <alignment horizontal="center" vertical="center"/>
    </xf>
    <xf numFmtId="0" fontId="3" fillId="0" borderId="21" xfId="6" applyFont="1" applyBorder="1" applyAlignment="1">
      <alignment horizontal="center" vertical="center"/>
    </xf>
    <xf numFmtId="0" fontId="3" fillId="0" borderId="11" xfId="6" applyFont="1" applyBorder="1" applyAlignment="1">
      <alignment horizontal="center" vertical="center"/>
    </xf>
    <xf numFmtId="0" fontId="5" fillId="0" borderId="0" xfId="0" applyFont="1"/>
    <xf numFmtId="0" fontId="3" fillId="0" borderId="1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4" xfId="0" applyBorder="1" applyAlignment="1">
      <alignment vertical="center"/>
    </xf>
    <xf numFmtId="0" fontId="3" fillId="0" borderId="3" xfId="0" applyFont="1" applyBorder="1" applyAlignment="1">
      <alignment vertical="center"/>
    </xf>
    <xf numFmtId="0" fontId="3" fillId="0" borderId="4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10" fillId="0" borderId="7" xfId="0" applyFont="1" applyBorder="1"/>
    <xf numFmtId="0" fontId="12" fillId="0" borderId="11" xfId="6" applyFont="1" applyBorder="1" applyAlignment="1">
      <alignment horizontal="center" vertical="center"/>
    </xf>
    <xf numFmtId="0" fontId="3" fillId="0" borderId="3" xfId="6" applyFont="1" applyBorder="1" applyAlignment="1">
      <alignment horizontal="center" vertical="center"/>
    </xf>
    <xf numFmtId="0" fontId="3" fillId="0" borderId="4" xfId="6" applyFont="1" applyBorder="1" applyAlignment="1">
      <alignment horizontal="center" vertical="center"/>
    </xf>
    <xf numFmtId="0" fontId="3" fillId="0" borderId="5" xfId="6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4" xfId="0" applyFont="1" applyBorder="1" applyAlignment="1">
      <alignment horizontal="center"/>
    </xf>
  </cellXfs>
  <cellStyles count="8">
    <cellStyle name="百分比" xfId="1" builtinId="5"/>
    <cellStyle name="常规" xfId="0" builtinId="0"/>
    <cellStyle name="常规 2" xfId="6" xr:uid="{00000000-0005-0000-0000-000002000000}"/>
    <cellStyle name="常规 3" xfId="7" xr:uid="{00000000-0005-0000-0000-000003000000}"/>
    <cellStyle name="超链接" xfId="2" builtinId="8" hidden="1"/>
    <cellStyle name="超链接" xfId="4" builtinId="8" hidden="1"/>
    <cellStyle name="已访问的超链接" xfId="3" builtinId="9" hidden="1"/>
    <cellStyle name="已访问的超链接" xfId="5" builtinId="9" hidden="1"/>
  </cellStyles>
  <dxfs count="864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</a:t>
            </a:r>
          </a:p>
        </c:rich>
      </c:tx>
      <c:layout>
        <c:manualLayout>
          <c:xMode val="edge"/>
          <c:yMode val="edge"/>
          <c:x val="0.42148731408573897"/>
          <c:y val="3.14136433880344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338794950852096E-2"/>
          <c:y val="0.115183282880784"/>
          <c:w val="0.874379636020849"/>
          <c:h val="0.7643981500270190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58-4752-87FC-344666D2D66B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58-4752-87FC-344666D2D66B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058-4752-87FC-344666D2D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1536"/>
        <c:axId val="2145888608"/>
      </c:scatterChart>
      <c:valAx>
        <c:axId val="21458815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950383979780302"/>
              <c:y val="0.9293194986140750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8608"/>
        <c:crosses val="autoZero"/>
        <c:crossBetween val="midCat"/>
      </c:valAx>
      <c:valAx>
        <c:axId val="214588860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40533359256001E-2"/>
              <c:y val="0.4214661858856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1536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049460484106104"/>
          <c:y val="0.80000078494861004"/>
          <c:w val="0.29305375716924298"/>
          <c:h val="9.696901905953350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U PSNR vs Bitrate</a:t>
            </a:r>
          </a:p>
        </c:rich>
      </c:tx>
      <c:layout>
        <c:manualLayout>
          <c:xMode val="edge"/>
          <c:yMode val="edge"/>
          <c:x val="0.41887453808694203"/>
          <c:y val="3.13316422039423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470262920263796E-2"/>
          <c:y val="0.117493584928031"/>
          <c:w val="0.87417289212290195"/>
          <c:h val="0.76240281775522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Plot!$AF$3:$AF$6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6A9-4270-871F-840E28B4985C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Plot!$AK$3:$AK$6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6A9-4270-871F-840E28B4985C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Plot!$AP$3:$AP$6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6A9-4270-871F-840E28B49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77184"/>
        <c:axId val="2145875008"/>
      </c:scatterChart>
      <c:valAx>
        <c:axId val="21458771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8609670082958"/>
              <c:y val="0.929504733695997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5008"/>
        <c:crosses val="autoZero"/>
        <c:crossBetween val="midCat"/>
      </c:valAx>
      <c:valAx>
        <c:axId val="2145875008"/>
        <c:scaling>
          <c:orientation val="minMax"/>
          <c:max val="41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U PSNR (dB)</a:t>
                </a:r>
              </a:p>
            </c:rich>
          </c:tx>
          <c:layout>
            <c:manualLayout>
              <c:xMode val="edge"/>
              <c:yMode val="edge"/>
              <c:x val="2.3178870255556702E-2"/>
              <c:y val="0.42036589001793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184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1310259579728"/>
          <c:y val="0.79143526053656699"/>
          <c:w val="0.29011974862845502"/>
          <c:h val="9.66078681505594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V PSNR vs Bitrate</a:t>
            </a:r>
          </a:p>
        </c:rich>
      </c:tx>
      <c:layout>
        <c:manualLayout>
          <c:xMode val="edge"/>
          <c:yMode val="edge"/>
          <c:x val="0.42053019021571603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748415307791205E-2"/>
          <c:y val="0.117493584928031"/>
          <c:w val="0.86589473973537401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Plot!$AG$3:$AG$6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3A-487A-A182-684D8090D036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Plot!$AL$3:$AL$6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3A-487A-A182-684D8090D036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Plot!$AQ$3:$AQ$6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3A-487A-A182-684D8090D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2080"/>
        <c:axId val="2145882624"/>
      </c:scatterChart>
      <c:valAx>
        <c:axId val="2145882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63576496695639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624"/>
        <c:crosses val="autoZero"/>
        <c:crossBetween val="midCat"/>
      </c:valAx>
      <c:valAx>
        <c:axId val="2145882624"/>
        <c:scaling>
          <c:orientation val="minMax"/>
          <c:max val="43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 PSNR (dB)</a:t>
                </a:r>
              </a:p>
            </c:rich>
          </c:tx>
          <c:layout>
            <c:manualLayout>
              <c:xMode val="edge"/>
              <c:yMode val="edge"/>
              <c:x val="1.9867565998007999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2080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6378244746600701"/>
          <c:y val="0.80223880597014896"/>
          <c:w val="0.28847162337093502"/>
          <c:h val="9.67881067105418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Y PSNR vs Bitrate (in log scale)</a:t>
            </a:r>
          </a:p>
        </c:rich>
      </c:tx>
      <c:layout>
        <c:manualLayout>
          <c:xMode val="edge"/>
          <c:yMode val="edge"/>
          <c:x val="0.36303620493800798"/>
          <c:y val="3.1331531319779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858069520841902E-2"/>
          <c:y val="0.114882616374075"/>
          <c:w val="0.85478530636318595"/>
          <c:h val="0.7650137863091800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Summary!$J$3</c:f>
              <c:strCache>
                <c:ptCount val="1"/>
                <c:pt idx="0">
                  <c:v>HPM8.0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Plot!$AD$3:$AD$6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Plot!$AE$3:$AE$6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631-4242-A8D0-9ABCCF3A6B55}"/>
            </c:ext>
          </c:extLst>
        </c:ser>
        <c:ser>
          <c:idx val="1"/>
          <c:order val="1"/>
          <c:tx>
            <c:strRef>
              <c:f>Summary!$J$4</c:f>
              <c:strCache>
                <c:ptCount val="1"/>
                <c:pt idx="0">
                  <c:v>HPM8.1</c:v>
                </c:pt>
              </c:strCache>
            </c:strRef>
          </c:tx>
          <c:spPr>
            <a:ln w="12700">
              <a:solidFill>
                <a:srgbClr val="DD2D32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DD2D32"/>
              </a:solidFill>
              <a:ln>
                <a:solidFill>
                  <a:srgbClr val="DD2D32"/>
                </a:solidFill>
                <a:prstDash val="solid"/>
              </a:ln>
            </c:spPr>
          </c:marker>
          <c:xVal>
            <c:numRef>
              <c:f>Plot!$AI$3:$AI$6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Plot!$AJ$3:$AJ$6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631-4242-A8D0-9ABCCF3A6B55}"/>
            </c:ext>
          </c:extLst>
        </c:ser>
        <c:ser>
          <c:idx val="2"/>
          <c:order val="2"/>
          <c:tx>
            <c:strRef>
              <c:f>Summary!$J$5</c:f>
              <c:strCache>
                <c:ptCount val="1"/>
              </c:strCache>
            </c:strRef>
          </c:tx>
          <c:spPr>
            <a:ln w="15875"/>
          </c:spPr>
          <c:xVal>
            <c:numRef>
              <c:f>Plot!$AN$3:$AN$6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Plot!$AO$3:$AO$6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631-4242-A8D0-9ABCCF3A6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889152"/>
        <c:axId val="2145877728"/>
      </c:scatterChart>
      <c:valAx>
        <c:axId val="2145889152"/>
        <c:scaling>
          <c:logBase val="10"/>
          <c:orientation val="minMax"/>
          <c:max val="1000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bitrate (kbps)</a:t>
                </a:r>
              </a:p>
            </c:rich>
          </c:tx>
          <c:layout>
            <c:manualLayout>
              <c:xMode val="edge"/>
              <c:yMode val="edge"/>
              <c:x val="0.45709564356243398"/>
              <c:y val="0.929504642143612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77728"/>
        <c:crosses val="autoZero"/>
        <c:crossBetween val="midCat"/>
      </c:valAx>
      <c:valAx>
        <c:axId val="2145877728"/>
        <c:scaling>
          <c:orientation val="minMax"/>
          <c:max val="38"/>
          <c:min val="-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 PSNR (dB)</a:t>
                </a:r>
              </a:p>
            </c:rich>
          </c:tx>
          <c:layout>
            <c:manualLayout>
              <c:xMode val="edge"/>
              <c:yMode val="edge"/>
              <c:x val="2.3102291005239601E-2"/>
              <c:y val="0.422976848043247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2145889152"/>
        <c:crosses val="autoZero"/>
        <c:crossBetween val="midCat"/>
        <c:majorUnit val="1"/>
        <c:minorUnit val="0.5"/>
      </c:valAx>
      <c:spPr>
        <a:solidFill>
          <a:srgbClr val="D9D9D9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5351456838548705"/>
          <c:y val="0.79477611940298498"/>
          <c:w val="0.27953992187474702"/>
          <c:h val="9.67881067105416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</xdr:row>
      <xdr:rowOff>9525</xdr:rowOff>
    </xdr:from>
    <xdr:to>
      <xdr:col>10</xdr:col>
      <xdr:colOff>0</xdr:colOff>
      <xdr:row>28</xdr:row>
      <xdr:rowOff>104775</xdr:rowOff>
    </xdr:to>
    <xdr:graphicFrame macro="">
      <xdr:nvGraphicFramePr>
        <xdr:cNvPr id="3159154" name="Chart 2">
          <a:extLst>
            <a:ext uri="{FF2B5EF4-FFF2-40B4-BE49-F238E27FC236}">
              <a16:creationId xmlns:a16="http://schemas.microsoft.com/office/drawing/2014/main" id="{00000000-0008-0000-0100-000072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104775</xdr:colOff>
      <xdr:row>3</xdr:row>
      <xdr:rowOff>9525</xdr:rowOff>
    </xdr:from>
    <xdr:to>
      <xdr:col>21</xdr:col>
      <xdr:colOff>371475</xdr:colOff>
      <xdr:row>28</xdr:row>
      <xdr:rowOff>123825</xdr:rowOff>
    </xdr:to>
    <xdr:graphicFrame macro="">
      <xdr:nvGraphicFramePr>
        <xdr:cNvPr id="3159155" name="Chart 3">
          <a:extLst>
            <a:ext uri="{FF2B5EF4-FFF2-40B4-BE49-F238E27FC236}">
              <a16:creationId xmlns:a16="http://schemas.microsoft.com/office/drawing/2014/main" id="{00000000-0008-0000-0100-000073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104775</xdr:colOff>
      <xdr:row>29</xdr:row>
      <xdr:rowOff>0</xdr:rowOff>
    </xdr:from>
    <xdr:to>
      <xdr:col>21</xdr:col>
      <xdr:colOff>371475</xdr:colOff>
      <xdr:row>54</xdr:row>
      <xdr:rowOff>104775</xdr:rowOff>
    </xdr:to>
    <xdr:graphicFrame macro="">
      <xdr:nvGraphicFramePr>
        <xdr:cNvPr id="3159156" name="Chart 4">
          <a:extLst>
            <a:ext uri="{FF2B5EF4-FFF2-40B4-BE49-F238E27FC236}">
              <a16:creationId xmlns:a16="http://schemas.microsoft.com/office/drawing/2014/main" id="{00000000-0008-0000-0100-000074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29</xdr:row>
      <xdr:rowOff>0</xdr:rowOff>
    </xdr:from>
    <xdr:to>
      <xdr:col>10</xdr:col>
      <xdr:colOff>9525</xdr:colOff>
      <xdr:row>54</xdr:row>
      <xdr:rowOff>104775</xdr:rowOff>
    </xdr:to>
    <xdr:graphicFrame macro="">
      <xdr:nvGraphicFramePr>
        <xdr:cNvPr id="3159157" name="Chart 7">
          <a:extLst>
            <a:ext uri="{FF2B5EF4-FFF2-40B4-BE49-F238E27FC236}">
              <a16:creationId xmlns:a16="http://schemas.microsoft.com/office/drawing/2014/main" id="{00000000-0008-0000-0100-000075343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0.25922</cdr:x>
      <cdr:y>0.0878</cdr:y>
    </cdr:from>
    <cdr:to>
      <cdr:x>0.77409</cdr:x>
      <cdr:y>0.13407</cdr:y>
    </cdr:to>
    <cdr:sp macro="" textlink="Plot!$AD$8">
      <cdr:nvSpPr>
        <cdr:cNvPr id="542721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98815" y="388938"/>
          <a:ext cx="3956787" cy="20597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D83A1EA8-ACB2-494D-9000-D03D49CEE280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0.25552</cdr:x>
      <cdr:y>0.08141</cdr:y>
    </cdr:from>
    <cdr:to>
      <cdr:x>0.76495</cdr:x>
      <cdr:y>0.12744</cdr:y>
    </cdr:to>
    <cdr:sp macro="" textlink="Plot!$AD$8">
      <cdr:nvSpPr>
        <cdr:cNvPr id="543745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5230" y="363576"/>
          <a:ext cx="3916051" cy="20294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19E6E365-CFA4-CC4C-A7E1-57BCA9832836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0.25849</cdr:x>
      <cdr:y>0.08313</cdr:y>
    </cdr:from>
    <cdr:to>
      <cdr:x>0.77062</cdr:x>
      <cdr:y>0.13087</cdr:y>
    </cdr:to>
    <cdr:sp macro="" textlink="Plot!$AD$8">
      <cdr:nvSpPr>
        <cdr:cNvPr id="54476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67125" y="370738"/>
          <a:ext cx="3938797" cy="21130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C78FC3BF-74FA-5F47-A170-DBE980647D6A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0.25576</cdr:x>
      <cdr:y>0.09244</cdr:y>
    </cdr:from>
    <cdr:to>
      <cdr:x>0.75805</cdr:x>
      <cdr:y>0.13943</cdr:y>
    </cdr:to>
    <cdr:sp macro="" textlink="Plot!$AD$8">
      <cdr:nvSpPr>
        <cdr:cNvPr id="54579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971643" y="404165"/>
          <a:ext cx="3862607" cy="2113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=""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=""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7"/>
                  </a:srgbClr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fld id="{BCA0EC84-F97B-3C4C-9330-102EEBE0B20D}" type="TxLink">
            <a:rPr lang="en-US" sz="12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Sequence: BlowingBubbles     Coding Conditions: RA-10</a:t>
          </a:fld>
          <a:endParaRPr lang="en-US" sz="1200" b="1" i="0" u="none" strike="noStrike" baseline="0">
            <a:solidFill>
              <a:srgbClr val="000000"/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B1:O132"/>
  <sheetViews>
    <sheetView tabSelected="1" topLeftCell="A7" zoomScale="85" zoomScaleNormal="85" workbookViewId="0">
      <selection activeCell="J3" sqref="J3:N3"/>
    </sheetView>
  </sheetViews>
  <sheetFormatPr defaultColWidth="10.875" defaultRowHeight="12" x14ac:dyDescent="0.2"/>
  <cols>
    <col min="1" max="1" width="4.125" style="103" customWidth="1"/>
    <col min="2" max="2" width="15.375" style="102" bestFit="1" customWidth="1"/>
    <col min="3" max="5" width="7.5" style="102" bestFit="1" customWidth="1"/>
    <col min="6" max="7" width="6.375" style="102" bestFit="1" customWidth="1"/>
    <col min="8" max="8" width="4.875" style="103" customWidth="1"/>
    <col min="9" max="9" width="15.375" style="103" bestFit="1" customWidth="1"/>
    <col min="10" max="12" width="7.5" style="103" bestFit="1" customWidth="1"/>
    <col min="13" max="14" width="6.375" style="103" bestFit="1" customWidth="1"/>
    <col min="15" max="16384" width="10.875" style="103"/>
  </cols>
  <sheetData>
    <row r="1" spans="2:15" ht="12.75" thickBot="1" x14ac:dyDescent="0.25"/>
    <row r="2" spans="2:15" ht="12.75" customHeight="1" thickBot="1" x14ac:dyDescent="0.25">
      <c r="C2" s="150" t="s">
        <v>74</v>
      </c>
      <c r="D2" s="151"/>
      <c r="E2" s="151"/>
      <c r="F2" s="151"/>
      <c r="G2" s="152"/>
      <c r="I2" s="102"/>
      <c r="J2" s="150" t="s">
        <v>75</v>
      </c>
      <c r="K2" s="151"/>
      <c r="L2" s="151"/>
      <c r="M2" s="151"/>
      <c r="N2" s="152"/>
    </row>
    <row r="3" spans="2:15" ht="12.75" customHeight="1" x14ac:dyDescent="0.2">
      <c r="C3" s="150" t="str">
        <f>CONCATENATE("Over ", Summary!$J$3)</f>
        <v>Over HPM8.0</v>
      </c>
      <c r="D3" s="151"/>
      <c r="E3" s="151"/>
      <c r="F3" s="151"/>
      <c r="G3" s="152"/>
      <c r="I3" s="102"/>
      <c r="J3" s="150" t="str">
        <f>CONCATENATE("Over ", Summary!$J$3)</f>
        <v>Over HPM8.0</v>
      </c>
      <c r="K3" s="151"/>
      <c r="L3" s="151"/>
      <c r="M3" s="151"/>
      <c r="N3" s="152"/>
      <c r="O3" s="104"/>
    </row>
    <row r="4" spans="2:15" ht="12.75" customHeight="1" thickBot="1" x14ac:dyDescent="0.25">
      <c r="C4" s="105" t="s">
        <v>14</v>
      </c>
      <c r="D4" s="106" t="s">
        <v>15</v>
      </c>
      <c r="E4" s="107" t="s">
        <v>16</v>
      </c>
      <c r="F4" s="108" t="s">
        <v>32</v>
      </c>
      <c r="G4" s="109" t="s">
        <v>33</v>
      </c>
      <c r="I4" s="102"/>
      <c r="J4" s="105" t="s">
        <v>14</v>
      </c>
      <c r="K4" s="106" t="s">
        <v>15</v>
      </c>
      <c r="L4" s="107" t="s">
        <v>16</v>
      </c>
      <c r="M4" s="108" t="s">
        <v>32</v>
      </c>
      <c r="N4" s="109" t="s">
        <v>33</v>
      </c>
      <c r="O4" s="104"/>
    </row>
    <row r="5" spans="2:15" ht="12.75" customHeight="1" x14ac:dyDescent="0.2">
      <c r="B5" s="110" t="str">
        <f>'AI-10'!$B$3</f>
        <v>Tango2</v>
      </c>
      <c r="C5" s="111" t="e">
        <f>'AI-10'!$V$3</f>
        <v>#VALUE!</v>
      </c>
      <c r="D5" s="112" t="e">
        <f>'AI-10'!$W$3</f>
        <v>#VALUE!</v>
      </c>
      <c r="E5" s="113" t="e">
        <f>'AI-10'!$X$3</f>
        <v>#VALUE!</v>
      </c>
      <c r="F5" s="114" t="e">
        <f>GEOMEAN('AI-10'!$S$3:'AI-10'!$S$6)</f>
        <v>#NUM!</v>
      </c>
      <c r="G5" s="115" t="e">
        <f>GEOMEAN('AI-10'!$T$3:'AI-10'!$T$6)</f>
        <v>#NUM!</v>
      </c>
      <c r="I5" s="110" t="str">
        <f>'AI-10'!$B$3</f>
        <v>Tango2</v>
      </c>
      <c r="J5" s="111" t="e">
        <f>'LDP-10'!$V$3</f>
        <v>#VALUE!</v>
      </c>
      <c r="K5" s="112" t="e">
        <f>'LDP-10'!$W$3</f>
        <v>#VALUE!</v>
      </c>
      <c r="L5" s="113" t="e">
        <f>'LDP-10'!$X$3</f>
        <v>#VALUE!</v>
      </c>
      <c r="M5" s="114" t="e">
        <f>GEOMEAN('LDP-10'!$S$3:'LDP-10'!$S$6)</f>
        <v>#DIV/0!</v>
      </c>
      <c r="N5" s="115" t="e">
        <f>GEOMEAN('LDP-10'!$T$3:'LDP-10'!$T$6)</f>
        <v>#DIV/0!</v>
      </c>
      <c r="O5" s="104"/>
    </row>
    <row r="6" spans="2:15" ht="12.75" customHeight="1" x14ac:dyDescent="0.2">
      <c r="B6" s="116" t="str">
        <f>'AI-10'!$B$7</f>
        <v>ParkRunning3</v>
      </c>
      <c r="C6" s="117" t="e">
        <f>'AI-10'!$V$7</f>
        <v>#VALUE!</v>
      </c>
      <c r="D6" s="118" t="e">
        <f>'AI-10'!$W$7</f>
        <v>#VALUE!</v>
      </c>
      <c r="E6" s="119" t="e">
        <f>'AI-10'!$X$7</f>
        <v>#VALUE!</v>
      </c>
      <c r="F6" s="120" t="e">
        <f>GEOMEAN('AI-10'!$S$7:'AI-10'!$S$10)</f>
        <v>#NUM!</v>
      </c>
      <c r="G6" s="121" t="e">
        <f>GEOMEAN('AI-10'!$T$7:'AI-10'!$T$10)</f>
        <v>#NUM!</v>
      </c>
      <c r="I6" s="116" t="str">
        <f>'AI-10'!$B$7</f>
        <v>ParkRunning3</v>
      </c>
      <c r="J6" s="117" t="e">
        <f>'LDP-10'!$V$7</f>
        <v>#VALUE!</v>
      </c>
      <c r="K6" s="118" t="e">
        <f>'LDP-10'!$W$7</f>
        <v>#VALUE!</v>
      </c>
      <c r="L6" s="119" t="e">
        <f>'LDP-10'!$X$7</f>
        <v>#VALUE!</v>
      </c>
      <c r="M6" s="120" t="e">
        <f>GEOMEAN('LDP-10'!$S$7:'LDP-10'!$S$10)</f>
        <v>#DIV/0!</v>
      </c>
      <c r="N6" s="121" t="e">
        <f>GEOMEAN('LDP-10'!$T$7:'LDP-10'!$T$10)</f>
        <v>#DIV/0!</v>
      </c>
      <c r="O6" s="104"/>
    </row>
    <row r="7" spans="2:15" ht="12.75" customHeight="1" x14ac:dyDescent="0.2">
      <c r="B7" s="116" t="str">
        <f>'AI-10'!$B$11</f>
        <v>Campfire</v>
      </c>
      <c r="C7" s="117" t="e">
        <f>'AI-10'!$V$11</f>
        <v>#VALUE!</v>
      </c>
      <c r="D7" s="118" t="e">
        <f>'AI-10'!$W$11</f>
        <v>#VALUE!</v>
      </c>
      <c r="E7" s="119" t="e">
        <f>'AI-10'!$X$11</f>
        <v>#VALUE!</v>
      </c>
      <c r="F7" s="130" t="e">
        <f>GEOMEAN('AI-10'!$S$11:'AI-10'!$S$14)</f>
        <v>#NUM!</v>
      </c>
      <c r="G7" s="121" t="e">
        <f>GEOMEAN('AI-10'!$T$11:'AI-10'!$T$14)</f>
        <v>#NUM!</v>
      </c>
      <c r="I7" s="116" t="str">
        <f>'AI-10'!$B$11</f>
        <v>Campfire</v>
      </c>
      <c r="J7" s="117" t="e">
        <f>'LDP-10'!$V$11</f>
        <v>#VALUE!</v>
      </c>
      <c r="K7" s="118" t="e">
        <f>'LDP-10'!$W$11</f>
        <v>#VALUE!</v>
      </c>
      <c r="L7" s="119" t="e">
        <f>'LDP-10'!$X$11</f>
        <v>#VALUE!</v>
      </c>
      <c r="M7" s="130" t="e">
        <f>GEOMEAN('LDP-10'!$S$11:'LDP-10'!$S$14)</f>
        <v>#DIV/0!</v>
      </c>
      <c r="N7" s="121" t="e">
        <f>GEOMEAN('LDP-10'!$T$11:'LDP-10'!$T$14)</f>
        <v>#DIV/0!</v>
      </c>
      <c r="O7" s="104"/>
    </row>
    <row r="8" spans="2:15" ht="12.75" customHeight="1" thickBot="1" x14ac:dyDescent="0.25">
      <c r="B8" s="122" t="str">
        <f>'AI-10'!$B$15</f>
        <v>DaylightRoad2</v>
      </c>
      <c r="C8" s="123" t="e">
        <f>'AI-10'!$V$15</f>
        <v>#VALUE!</v>
      </c>
      <c r="D8" s="124" t="e">
        <f>'AI-10'!$W$15</f>
        <v>#VALUE!</v>
      </c>
      <c r="E8" s="125" t="e">
        <f>'AI-10'!$X$15</f>
        <v>#VALUE!</v>
      </c>
      <c r="F8" s="126" t="e">
        <f>GEOMEAN('AI-10'!$S$15:'AI-10'!$S$18)</f>
        <v>#NUM!</v>
      </c>
      <c r="G8" s="127" t="e">
        <f>GEOMEAN('AI-10'!$T$15:'AI-10'!$T$18)</f>
        <v>#NUM!</v>
      </c>
      <c r="I8" s="122" t="str">
        <f>'AI-10'!$B$15</f>
        <v>DaylightRoad2</v>
      </c>
      <c r="J8" s="123" t="e">
        <f>'LDP-10'!$V$15</f>
        <v>#VALUE!</v>
      </c>
      <c r="K8" s="124" t="e">
        <f>'LDP-10'!$W$15</f>
        <v>#VALUE!</v>
      </c>
      <c r="L8" s="125" t="e">
        <f>'LDP-10'!$X$15</f>
        <v>#VALUE!</v>
      </c>
      <c r="M8" s="126" t="e">
        <f>GEOMEAN('LDP-10'!$S$15:'LDP-10'!$S$18)</f>
        <v>#DIV/0!</v>
      </c>
      <c r="N8" s="127" t="e">
        <f>GEOMEAN('LDP-10'!$T$15:'LDP-10'!$T$18)</f>
        <v>#DIV/0!</v>
      </c>
      <c r="O8" s="104"/>
    </row>
    <row r="9" spans="2:15" ht="12.75" customHeight="1" x14ac:dyDescent="0.2">
      <c r="B9" s="110" t="str">
        <f>'AI-10'!$B$19</f>
        <v>Cactus</v>
      </c>
      <c r="C9" s="111" t="e">
        <f>'AI-10'!$V$19</f>
        <v>#VALUE!</v>
      </c>
      <c r="D9" s="112" t="e">
        <f>'AI-10'!$W$19</f>
        <v>#VALUE!</v>
      </c>
      <c r="E9" s="113" t="e">
        <f>'AI-10'!$X$19</f>
        <v>#VALUE!</v>
      </c>
      <c r="F9" s="114" t="e">
        <f>GEOMEAN('AI-10'!$S$19:'AI-10'!$S$22)</f>
        <v>#NUM!</v>
      </c>
      <c r="G9" s="115" t="e">
        <f>GEOMEAN('AI-10'!$T$19:'AI-10'!$T$22)</f>
        <v>#NUM!</v>
      </c>
      <c r="I9" s="110" t="str">
        <f>'AI-10'!$B$19</f>
        <v>Cactus</v>
      </c>
      <c r="J9" s="111" t="e">
        <f>'LDP-10'!$V$19</f>
        <v>#VALUE!</v>
      </c>
      <c r="K9" s="112" t="e">
        <f>'LDP-10'!$W$19</f>
        <v>#VALUE!</v>
      </c>
      <c r="L9" s="113" t="e">
        <f>'LDP-10'!$X$19</f>
        <v>#VALUE!</v>
      </c>
      <c r="M9" s="114" t="e">
        <f>GEOMEAN('LDP-10'!$S$19:'LDP-10'!$S$22)</f>
        <v>#DIV/0!</v>
      </c>
      <c r="N9" s="115" t="e">
        <f>GEOMEAN('LDP-10'!$T$19:'LDP-10'!$T$22)</f>
        <v>#DIV/0!</v>
      </c>
      <c r="O9" s="104"/>
    </row>
    <row r="10" spans="2:15" ht="12.75" customHeight="1" x14ac:dyDescent="0.2">
      <c r="B10" s="116" t="str">
        <f>'AI-10'!$B$23</f>
        <v>BasketballDrive</v>
      </c>
      <c r="C10" s="117" t="e">
        <f>'AI-10'!$V$23</f>
        <v>#VALUE!</v>
      </c>
      <c r="D10" s="118" t="e">
        <f>'AI-10'!$W$23</f>
        <v>#VALUE!</v>
      </c>
      <c r="E10" s="119" t="e">
        <f>'AI-10'!$X$23</f>
        <v>#VALUE!</v>
      </c>
      <c r="F10" s="120" t="e">
        <f>GEOMEAN('AI-10'!$S$23:'AI-10'!$S$26)</f>
        <v>#NUM!</v>
      </c>
      <c r="G10" s="121" t="e">
        <f>GEOMEAN('AI-10'!$T$23:'AI-10'!$T$26)</f>
        <v>#NUM!</v>
      </c>
      <c r="I10" s="116" t="str">
        <f>'AI-10'!$B$23</f>
        <v>BasketballDrive</v>
      </c>
      <c r="J10" s="117" t="e">
        <f>'LDP-10'!$V$23</f>
        <v>#VALUE!</v>
      </c>
      <c r="K10" s="118" t="e">
        <f>'LDP-10'!$W$23</f>
        <v>#VALUE!</v>
      </c>
      <c r="L10" s="119" t="e">
        <f>'LDP-10'!$X$23</f>
        <v>#VALUE!</v>
      </c>
      <c r="M10" s="120" t="e">
        <f>GEOMEAN('LDP-10'!$S$23:'LDP-10'!$S$26)</f>
        <v>#DIV/0!</v>
      </c>
      <c r="N10" s="121" t="e">
        <f>GEOMEAN('LDP-10'!$T$23:'LDP-10'!$T$26)</f>
        <v>#DIV/0!</v>
      </c>
      <c r="O10" s="104"/>
    </row>
    <row r="11" spans="2:15" ht="12.75" customHeight="1" x14ac:dyDescent="0.2">
      <c r="B11" s="116" t="str">
        <f>'AI-10'!$B$27</f>
        <v>MarketPlace</v>
      </c>
      <c r="C11" s="117" t="e">
        <f>'AI-10'!$V$27</f>
        <v>#VALUE!</v>
      </c>
      <c r="D11" s="118" t="e">
        <f>'AI-10'!$W$27</f>
        <v>#VALUE!</v>
      </c>
      <c r="E11" s="119" t="e">
        <f>'AI-10'!$X$27</f>
        <v>#VALUE!</v>
      </c>
      <c r="F11" s="120" t="e">
        <f>GEOMEAN('AI-10'!$S$27:'AI-10'!$S$30)</f>
        <v>#NUM!</v>
      </c>
      <c r="G11" s="121" t="e">
        <f>GEOMEAN('AI-10'!$T$27:'AI-10'!$T$30)</f>
        <v>#NUM!</v>
      </c>
      <c r="I11" s="116" t="str">
        <f>'AI-10'!$B$27</f>
        <v>MarketPlace</v>
      </c>
      <c r="J11" s="117" t="e">
        <f>'LDP-10'!$V$27</f>
        <v>#VALUE!</v>
      </c>
      <c r="K11" s="118" t="e">
        <f>'LDP-10'!$W$27</f>
        <v>#VALUE!</v>
      </c>
      <c r="L11" s="119" t="e">
        <f>'LDP-10'!$X$27</f>
        <v>#VALUE!</v>
      </c>
      <c r="M11" s="120" t="e">
        <f>GEOMEAN('LDP-10'!$S$27:'LDP-10'!$S$30)</f>
        <v>#DIV/0!</v>
      </c>
      <c r="N11" s="121" t="e">
        <f>GEOMEAN('LDP-10'!$T$27:'LDP-10'!$T$30)</f>
        <v>#DIV/0!</v>
      </c>
      <c r="O11" s="104"/>
    </row>
    <row r="12" spans="2:15" ht="12.75" customHeight="1" thickBot="1" x14ac:dyDescent="0.25">
      <c r="B12" s="122" t="str">
        <f>'AI-10'!$B$31</f>
        <v>RitualDance</v>
      </c>
      <c r="C12" s="123" t="e">
        <f>'AI-10'!$V$31</f>
        <v>#VALUE!</v>
      </c>
      <c r="D12" s="124" t="e">
        <f>'AI-10'!$W$31</f>
        <v>#VALUE!</v>
      </c>
      <c r="E12" s="125" t="e">
        <f>'AI-10'!$X$31</f>
        <v>#VALUE!</v>
      </c>
      <c r="F12" s="126" t="e">
        <f>GEOMEAN('AI-10'!$S$31:'AI-10'!$S$34)</f>
        <v>#NUM!</v>
      </c>
      <c r="G12" s="127" t="e">
        <f>GEOMEAN('AI-10'!$T$31:'AI-10'!$T$34)</f>
        <v>#NUM!</v>
      </c>
      <c r="I12" s="122" t="str">
        <f>'AI-10'!$B$31</f>
        <v>RitualDance</v>
      </c>
      <c r="J12" s="123" t="e">
        <f>'LDP-10'!$V$31</f>
        <v>#VALUE!</v>
      </c>
      <c r="K12" s="124" t="e">
        <f>'LDP-10'!$W$31</f>
        <v>#VALUE!</v>
      </c>
      <c r="L12" s="125" t="e">
        <f>'LDP-10'!$X$31</f>
        <v>#VALUE!</v>
      </c>
      <c r="M12" s="126" t="e">
        <f>GEOMEAN('LDP-10'!$S$31:'LDP-10'!$S$34)</f>
        <v>#DIV/0!</v>
      </c>
      <c r="N12" s="127" t="e">
        <f>GEOMEAN('LDP-10'!$T$31:'LDP-10'!$T$34)</f>
        <v>#DIV/0!</v>
      </c>
      <c r="O12" s="104"/>
    </row>
    <row r="13" spans="2:15" ht="12.75" customHeight="1" x14ac:dyDescent="0.2">
      <c r="B13" s="110" t="str">
        <f>'AI-10'!$B$35</f>
        <v>City</v>
      </c>
      <c r="C13" s="111" t="e">
        <f>'AI-10'!$V$35</f>
        <v>#VALUE!</v>
      </c>
      <c r="D13" s="112" t="e">
        <f>'AI-10'!$W$35</f>
        <v>#VALUE!</v>
      </c>
      <c r="E13" s="113" t="e">
        <f>'AI-10'!$X$35</f>
        <v>#VALUE!</v>
      </c>
      <c r="F13" s="114" t="e">
        <f>GEOMEAN('AI-10'!$S$35:'AI-10'!$S$38)</f>
        <v>#NUM!</v>
      </c>
      <c r="G13" s="115" t="e">
        <f>GEOMEAN('AI-10'!$T$35:'AI-10'!$T$38)</f>
        <v>#NUM!</v>
      </c>
      <c r="I13" s="110" t="str">
        <f>'AI-10'!$B$35</f>
        <v>City</v>
      </c>
      <c r="J13" s="111" t="e">
        <f>'LDP-10'!$V$35</f>
        <v>#VALUE!</v>
      </c>
      <c r="K13" s="112" t="e">
        <f>'LDP-10'!$W$35</f>
        <v>#VALUE!</v>
      </c>
      <c r="L13" s="113" t="e">
        <f>'LDP-10'!$X$35</f>
        <v>#VALUE!</v>
      </c>
      <c r="M13" s="114" t="e">
        <f>GEOMEAN('LDP-10'!$S$35:'LDP-10'!$S$38)</f>
        <v>#DIV/0!</v>
      </c>
      <c r="N13" s="115" t="e">
        <f>GEOMEAN('LDP-10'!$T$35:'LDP-10'!$T$38)</f>
        <v>#DIV/0!</v>
      </c>
      <c r="O13" s="104"/>
    </row>
    <row r="14" spans="2:15" ht="12.75" customHeight="1" x14ac:dyDescent="0.2">
      <c r="B14" s="116" t="str">
        <f>'AI-10'!$B$39</f>
        <v>Crew</v>
      </c>
      <c r="C14" s="117" t="e">
        <f>'AI-10'!$V$39</f>
        <v>#VALUE!</v>
      </c>
      <c r="D14" s="118" t="e">
        <f>'AI-10'!$W$39</f>
        <v>#VALUE!</v>
      </c>
      <c r="E14" s="119" t="e">
        <f>'AI-10'!$X$39</f>
        <v>#VALUE!</v>
      </c>
      <c r="F14" s="120" t="e">
        <f>GEOMEAN('AI-10'!$S$39:'AI-10'!$S$42)</f>
        <v>#NUM!</v>
      </c>
      <c r="G14" s="121" t="e">
        <f>GEOMEAN('AI-10'!$T$39:'AI-10'!$T$42)</f>
        <v>#NUM!</v>
      </c>
      <c r="I14" s="116" t="str">
        <f>'AI-10'!$B$39</f>
        <v>Crew</v>
      </c>
      <c r="J14" s="117" t="e">
        <f>'LDP-10'!$V$39</f>
        <v>#VALUE!</v>
      </c>
      <c r="K14" s="118" t="e">
        <f>'LDP-10'!$W$39</f>
        <v>#VALUE!</v>
      </c>
      <c r="L14" s="119" t="e">
        <f>'LDP-10'!$X$39</f>
        <v>#VALUE!</v>
      </c>
      <c r="M14" s="120" t="e">
        <f>GEOMEAN('LDP-10'!$S$39:'LDP-10'!$S$42)</f>
        <v>#DIV/0!</v>
      </c>
      <c r="N14" s="121" t="e">
        <f>GEOMEAN('LDP-10'!$T$39:'LDP-10'!$T$42)</f>
        <v>#DIV/0!</v>
      </c>
      <c r="O14" s="104"/>
    </row>
    <row r="15" spans="2:15" ht="12.75" customHeight="1" x14ac:dyDescent="0.2">
      <c r="B15" s="116" t="str">
        <f>'AI-10'!$B$43</f>
        <v>vidyo1</v>
      </c>
      <c r="C15" s="117" t="e">
        <f>'AI-10'!$V$43</f>
        <v>#VALUE!</v>
      </c>
      <c r="D15" s="118" t="e">
        <f>'AI-10'!$W$43</f>
        <v>#VALUE!</v>
      </c>
      <c r="E15" s="119" t="e">
        <f>'AI-10'!$X$43</f>
        <v>#VALUE!</v>
      </c>
      <c r="F15" s="120" t="e">
        <f>GEOMEAN('AI-10'!$S$43:'AI-10'!$S$46)</f>
        <v>#NUM!</v>
      </c>
      <c r="G15" s="121" t="e">
        <f>GEOMEAN('AI-10'!$T$43:'AI-10'!$T$46)</f>
        <v>#NUM!</v>
      </c>
      <c r="I15" s="116" t="str">
        <f>'AI-10'!$B$43</f>
        <v>vidyo1</v>
      </c>
      <c r="J15" s="117" t="e">
        <f>'LDP-10'!$V$43</f>
        <v>#VALUE!</v>
      </c>
      <c r="K15" s="118" t="e">
        <f>'LDP-10'!$W$43</f>
        <v>#VALUE!</v>
      </c>
      <c r="L15" s="119" t="e">
        <f>'LDP-10'!$X$43</f>
        <v>#VALUE!</v>
      </c>
      <c r="M15" s="120" t="e">
        <f>GEOMEAN('LDP-10'!$S$43:'LDP-10'!$S$46)</f>
        <v>#DIV/0!</v>
      </c>
      <c r="N15" s="121" t="e">
        <f>GEOMEAN('LDP-10'!$T$43:'LDP-10'!$T$46)</f>
        <v>#DIV/0!</v>
      </c>
      <c r="O15" s="104"/>
    </row>
    <row r="16" spans="2:15" ht="12.75" customHeight="1" thickBot="1" x14ac:dyDescent="0.25">
      <c r="B16" s="122" t="str">
        <f>'AI-10'!$B$47</f>
        <v>vidyo3</v>
      </c>
      <c r="C16" s="123" t="e">
        <f>'AI-10'!$V$47</f>
        <v>#VALUE!</v>
      </c>
      <c r="D16" s="124" t="e">
        <f>'AI-10'!$W$47</f>
        <v>#VALUE!</v>
      </c>
      <c r="E16" s="125" t="e">
        <f>'AI-10'!$X$47</f>
        <v>#VALUE!</v>
      </c>
      <c r="F16" s="126" t="e">
        <f>GEOMEAN('AI-10'!$S$47:'AI-10'!$S$50)</f>
        <v>#NUM!</v>
      </c>
      <c r="G16" s="127" t="e">
        <f>GEOMEAN('AI-10'!$T$47:'AI-10'!$T$50)</f>
        <v>#NUM!</v>
      </c>
      <c r="I16" s="122" t="str">
        <f>'AI-10'!$B$47</f>
        <v>vidyo3</v>
      </c>
      <c r="J16" s="123" t="e">
        <f>'LDP-10'!$V$47</f>
        <v>#VALUE!</v>
      </c>
      <c r="K16" s="124" t="e">
        <f>'LDP-10'!$W$47</f>
        <v>#VALUE!</v>
      </c>
      <c r="L16" s="125" t="e">
        <f>'LDP-10'!$X$47</f>
        <v>#VALUE!</v>
      </c>
      <c r="M16" s="126" t="e">
        <f>GEOMEAN('LDP-10'!$S$47:'LDP-10'!$S$50)</f>
        <v>#DIV/0!</v>
      </c>
      <c r="N16" s="127" t="e">
        <f>GEOMEAN('LDP-10'!$T$47:'LDP-10'!$T$50)</f>
        <v>#DIV/0!</v>
      </c>
      <c r="O16" s="104"/>
    </row>
    <row r="17" spans="2:15" ht="12.75" customHeight="1" x14ac:dyDescent="0.2">
      <c r="B17" s="110" t="str">
        <f>'AI-10'!$B$51</f>
        <v>MetroEntrance</v>
      </c>
      <c r="C17" s="111" t="e">
        <f>'AI-10'!$V$51</f>
        <v>#VALUE!</v>
      </c>
      <c r="D17" s="112" t="e">
        <f>'AI-10'!$W$51</f>
        <v>#VALUE!</v>
      </c>
      <c r="E17" s="113" t="e">
        <f>'AI-10'!$X$51</f>
        <v>#VALUE!</v>
      </c>
      <c r="F17" s="114" t="e">
        <f>GEOMEAN('AI-10'!$S$51:'AI-10'!$S$54)</f>
        <v>#DIV/0!</v>
      </c>
      <c r="G17" s="115" t="e">
        <f>GEOMEAN('AI-10'!$T$51:'AI-10'!$T$54)</f>
        <v>#DIV/0!</v>
      </c>
      <c r="I17" s="110" t="str">
        <f>'AI-10'!$B$51</f>
        <v>MetroEntrance</v>
      </c>
      <c r="J17" s="111" t="e">
        <f>'LDP-10'!$V$51</f>
        <v>#VALUE!</v>
      </c>
      <c r="K17" s="112" t="e">
        <f>'LDP-10'!$W$51</f>
        <v>#VALUE!</v>
      </c>
      <c r="L17" s="113" t="e">
        <f>'LDP-10'!$X$51</f>
        <v>#VALUE!</v>
      </c>
      <c r="M17" s="114" t="e">
        <f>GEOMEAN('LDP-10'!$S$51:'LDP-10'!$S$54)</f>
        <v>#DIV/0!</v>
      </c>
      <c r="N17" s="115" t="e">
        <f>GEOMEAN('LDP-10'!$T$51:'LDP-10'!$T$54)</f>
        <v>#DIV/0!</v>
      </c>
      <c r="O17" s="104"/>
    </row>
    <row r="18" spans="2:15" ht="12.75" customHeight="1" thickBot="1" x14ac:dyDescent="0.25">
      <c r="B18" s="122" t="str">
        <f>'AI-10'!$B$55</f>
        <v>NightTraffic3</v>
      </c>
      <c r="C18" s="123" t="e">
        <f>'AI-10'!$V$55</f>
        <v>#VALUE!</v>
      </c>
      <c r="D18" s="124" t="e">
        <f>'AI-10'!$W$55</f>
        <v>#VALUE!</v>
      </c>
      <c r="E18" s="125" t="e">
        <f>'AI-10'!$X$55</f>
        <v>#VALUE!</v>
      </c>
      <c r="F18" s="126" t="e">
        <f>GEOMEAN('AI-10'!$S$55:'AI-10'!$S$58)</f>
        <v>#DIV/0!</v>
      </c>
      <c r="G18" s="127" t="e">
        <f>GEOMEAN('AI-10'!$T$55:'AI-10'!$T$58)</f>
        <v>#DIV/0!</v>
      </c>
      <c r="I18" s="122" t="str">
        <f>'AI-10'!$B$55</f>
        <v>NightTraffic3</v>
      </c>
      <c r="J18" s="123" t="e">
        <f>'LDP-10'!$V$55</f>
        <v>#VALUE!</v>
      </c>
      <c r="K18" s="124" t="e">
        <f>'LDP-10'!$W$55</f>
        <v>#VALUE!</v>
      </c>
      <c r="L18" s="125" t="e">
        <f>'LDP-10'!$X$55</f>
        <v>#VALUE!</v>
      </c>
      <c r="M18" s="126" t="e">
        <f>GEOMEAN('LDP-10'!$S$55:'LDP-10'!$S$58)</f>
        <v>#DIV/0!</v>
      </c>
      <c r="N18" s="127" t="e">
        <f>GEOMEAN('LDP-10'!$T$55:'LDP-10'!$T$58)</f>
        <v>#DIV/0!</v>
      </c>
      <c r="O18" s="104"/>
    </row>
    <row r="19" spans="2:15" ht="12.75" customHeight="1" x14ac:dyDescent="0.2">
      <c r="B19" s="110" t="str">
        <f>'AI-10'!$B$59</f>
        <v>FlyingGraphics</v>
      </c>
      <c r="C19" s="111" t="e">
        <f>'AI-10'!$V$59</f>
        <v>#VALUE!</v>
      </c>
      <c r="D19" s="112" t="e">
        <f>'AI-10'!$W$59</f>
        <v>#VALUE!</v>
      </c>
      <c r="E19" s="113" t="e">
        <f>'AI-10'!$X$59</f>
        <v>#VALUE!</v>
      </c>
      <c r="F19" s="114" t="e">
        <f>GEOMEAN('AI-10'!$S$59:'AI-10'!$S$62)</f>
        <v>#DIV/0!</v>
      </c>
      <c r="G19" s="115" t="e">
        <f>GEOMEAN('AI-10'!$T$59:'AI-10'!$T$62)</f>
        <v>#DIV/0!</v>
      </c>
      <c r="I19" s="110" t="str">
        <f>'AI-10'!$B$59</f>
        <v>FlyingGraphics</v>
      </c>
      <c r="J19" s="111" t="e">
        <f>'LDP-10'!$V$59</f>
        <v>#VALUE!</v>
      </c>
      <c r="K19" s="112" t="e">
        <f>'LDP-10'!$W$59</f>
        <v>#VALUE!</v>
      </c>
      <c r="L19" s="113" t="e">
        <f>'LDP-10'!$X$59</f>
        <v>#VALUE!</v>
      </c>
      <c r="M19" s="114" t="e">
        <f>GEOMEAN('LDP-10'!$S$59:'LDP-10'!$S$62)</f>
        <v>#DIV/0!</v>
      </c>
      <c r="N19" s="115" t="e">
        <f>GEOMEAN('LDP-10'!$T$59:'LDP-10'!$T$62)</f>
        <v>#DIV/0!</v>
      </c>
      <c r="O19" s="104"/>
    </row>
    <row r="20" spans="2:15" ht="12.75" customHeight="1" x14ac:dyDescent="0.2">
      <c r="B20" s="116" t="str">
        <f>'AI-10'!$B$63</f>
        <v>Desktop</v>
      </c>
      <c r="C20" s="117" t="e">
        <f>'AI-10'!$V$63</f>
        <v>#VALUE!</v>
      </c>
      <c r="D20" s="118" t="e">
        <f>'AI-10'!$W$63</f>
        <v>#VALUE!</v>
      </c>
      <c r="E20" s="119" t="e">
        <f>'AI-10'!$X$63</f>
        <v>#VALUE!</v>
      </c>
      <c r="F20" s="120" t="e">
        <f>GEOMEAN('AI-10'!$S$63:'AI-10'!$S$66)</f>
        <v>#DIV/0!</v>
      </c>
      <c r="G20" s="121" t="e">
        <f>GEOMEAN('AI-10'!$T$63:'AI-10'!$T$66)</f>
        <v>#DIV/0!</v>
      </c>
      <c r="I20" s="116" t="str">
        <f>'AI-10'!$B$63</f>
        <v>Desktop</v>
      </c>
      <c r="J20" s="117" t="e">
        <f>'LDP-10'!$V$63</f>
        <v>#VALUE!</v>
      </c>
      <c r="K20" s="118" t="e">
        <f>'LDP-10'!$W$63</f>
        <v>#VALUE!</v>
      </c>
      <c r="L20" s="119" t="e">
        <f>'LDP-10'!$X$63</f>
        <v>#VALUE!</v>
      </c>
      <c r="M20" s="120" t="e">
        <f>GEOMEAN('LDP-10'!$S$63:'LDP-10'!$S$66)</f>
        <v>#DIV/0!</v>
      </c>
      <c r="N20" s="121" t="e">
        <f>GEOMEAN('LDP-10'!$T$63:'LDP-10'!$T$66)</f>
        <v>#DIV/0!</v>
      </c>
      <c r="O20" s="104"/>
    </row>
    <row r="21" spans="2:15" ht="12.75" customHeight="1" x14ac:dyDescent="0.2">
      <c r="B21" s="116" t="str">
        <f>'AI-10'!$B$67</f>
        <v>ArenaOfValor</v>
      </c>
      <c r="C21" s="117" t="e">
        <f>'AI-10'!$V$67</f>
        <v>#VALUE!</v>
      </c>
      <c r="D21" s="118" t="e">
        <f>'AI-10'!$W$67</f>
        <v>#VALUE!</v>
      </c>
      <c r="E21" s="119" t="e">
        <f>'AI-10'!$X$67</f>
        <v>#VALUE!</v>
      </c>
      <c r="F21" s="120" t="e">
        <f>GEOMEAN('AI-10'!$S$67:'AI-10'!$S$70)</f>
        <v>#DIV/0!</v>
      </c>
      <c r="G21" s="121" t="e">
        <f>GEOMEAN('AI-10'!$T$67:'AI-10'!$T$70)</f>
        <v>#DIV/0!</v>
      </c>
      <c r="I21" s="116" t="str">
        <f>'AI-10'!$B$67</f>
        <v>ArenaOfValor</v>
      </c>
      <c r="J21" s="117" t="e">
        <f>'LDP-10'!$V$67</f>
        <v>#VALUE!</v>
      </c>
      <c r="K21" s="118" t="e">
        <f>'LDP-10'!$W$67</f>
        <v>#VALUE!</v>
      </c>
      <c r="L21" s="119" t="e">
        <f>'LDP-10'!$X$67</f>
        <v>#VALUE!</v>
      </c>
      <c r="M21" s="120" t="e">
        <f>GEOMEAN('LDP-10'!$S$67:'LDP-10'!$S$70)</f>
        <v>#DIV/0!</v>
      </c>
      <c r="N21" s="121" t="e">
        <f>GEOMEAN('LDP-10'!$T$67:'LDP-10'!$T$70)</f>
        <v>#DIV/0!</v>
      </c>
      <c r="O21" s="104"/>
    </row>
    <row r="22" spans="2:15" ht="12.75" customHeight="1" thickBot="1" x14ac:dyDescent="0.25">
      <c r="B22" s="122" t="str">
        <f>'AI-10'!$B$71</f>
        <v>program_vidyo</v>
      </c>
      <c r="C22" s="123" t="e">
        <f>'AI-10'!$V$71</f>
        <v>#VALUE!</v>
      </c>
      <c r="D22" s="124" t="e">
        <f>'AI-10'!$W$71</f>
        <v>#VALUE!</v>
      </c>
      <c r="E22" s="125" t="e">
        <f>'AI-10'!$X$71</f>
        <v>#VALUE!</v>
      </c>
      <c r="F22" s="126" t="e">
        <f>GEOMEAN('AI-10'!$S$71:'AI-10'!$S$74)</f>
        <v>#DIV/0!</v>
      </c>
      <c r="G22" s="127" t="e">
        <f>GEOMEAN('AI-10'!$T$71:'AI-10'!$T$74)</f>
        <v>#DIV/0!</v>
      </c>
      <c r="I22" s="122" t="str">
        <f>'AI-10'!$B$71</f>
        <v>program_vidyo</v>
      </c>
      <c r="J22" s="123" t="e">
        <f>'LDP-10'!$V$71</f>
        <v>#VALUE!</v>
      </c>
      <c r="K22" s="124" t="e">
        <f>'LDP-10'!$W$71</f>
        <v>#VALUE!</v>
      </c>
      <c r="L22" s="125" t="e">
        <f>'LDP-10'!$X$71</f>
        <v>#VALUE!</v>
      </c>
      <c r="M22" s="126" t="e">
        <f>GEOMEAN('LDP-10'!$S$71:'LDP-10'!$S$74)</f>
        <v>#DIV/0!</v>
      </c>
      <c r="N22" s="127" t="e">
        <f>GEOMEAN('LDP-10'!$T$71:'LDP-10'!$T$74)</f>
        <v>#DIV/0!</v>
      </c>
      <c r="O22" s="104"/>
    </row>
    <row r="23" spans="2:15" ht="12.75" customHeight="1" x14ac:dyDescent="0.2">
      <c r="B23" s="132" t="s">
        <v>78</v>
      </c>
      <c r="C23" s="111" t="e">
        <f>'AI-10'!$V75</f>
        <v>#VALUE!</v>
      </c>
      <c r="D23" s="112" t="e">
        <f>'AI-10'!$W75</f>
        <v>#VALUE!</v>
      </c>
      <c r="E23" s="113" t="e">
        <f>'AI-10'!$X75</f>
        <v>#VALUE!</v>
      </c>
      <c r="F23" s="128" t="e">
        <f>'AI-10'!$S75</f>
        <v>#NUM!</v>
      </c>
      <c r="G23" s="115" t="e">
        <f>'AI-10'!$T75</f>
        <v>#NUM!</v>
      </c>
      <c r="H23" s="129"/>
      <c r="I23" s="132" t="s">
        <v>78</v>
      </c>
      <c r="J23" s="111" t="e">
        <f>'LDP-10'!$V75</f>
        <v>#VALUE!</v>
      </c>
      <c r="K23" s="112" t="e">
        <f>'LDP-10'!$W75</f>
        <v>#VALUE!</v>
      </c>
      <c r="L23" s="113" t="e">
        <f>'LDP-10'!$X75</f>
        <v>#VALUE!</v>
      </c>
      <c r="M23" s="128" t="e">
        <f>'LDP-10'!$S75</f>
        <v>#DIV/0!</v>
      </c>
      <c r="N23" s="115" t="e">
        <f>'LDP-10'!$T75</f>
        <v>#DIV/0!</v>
      </c>
      <c r="O23" s="104"/>
    </row>
    <row r="24" spans="2:15" ht="12.75" customHeight="1" x14ac:dyDescent="0.2">
      <c r="B24" s="133" t="s">
        <v>79</v>
      </c>
      <c r="C24" s="117" t="e">
        <f>'AI-10'!$V76</f>
        <v>#VALUE!</v>
      </c>
      <c r="D24" s="118" t="e">
        <f>'AI-10'!$W76</f>
        <v>#VALUE!</v>
      </c>
      <c r="E24" s="119" t="e">
        <f>'AI-10'!$X76</f>
        <v>#VALUE!</v>
      </c>
      <c r="F24" s="130" t="e">
        <f>'AI-10'!$S76</f>
        <v>#NUM!</v>
      </c>
      <c r="G24" s="121" t="e">
        <f>'AI-10'!$T76</f>
        <v>#NUM!</v>
      </c>
      <c r="H24" s="129"/>
      <c r="I24" s="133" t="s">
        <v>79</v>
      </c>
      <c r="J24" s="117" t="e">
        <f>'LDP-10'!$V76</f>
        <v>#VALUE!</v>
      </c>
      <c r="K24" s="118" t="e">
        <f>'LDP-10'!$W76</f>
        <v>#VALUE!</v>
      </c>
      <c r="L24" s="119" t="e">
        <f>'LDP-10'!$X76</f>
        <v>#VALUE!</v>
      </c>
      <c r="M24" s="130" t="e">
        <f>'LDP-10'!$S76</f>
        <v>#DIV/0!</v>
      </c>
      <c r="N24" s="121" t="e">
        <f>'LDP-10'!$T76</f>
        <v>#DIV/0!</v>
      </c>
      <c r="O24" s="104"/>
    </row>
    <row r="25" spans="2:15" ht="12.75" customHeight="1" thickBot="1" x14ac:dyDescent="0.25">
      <c r="B25" s="133" t="s">
        <v>80</v>
      </c>
      <c r="C25" s="117" t="e">
        <f>'AI-10'!$V77</f>
        <v>#VALUE!</v>
      </c>
      <c r="D25" s="118" t="e">
        <f>'AI-10'!$W77</f>
        <v>#VALUE!</v>
      </c>
      <c r="E25" s="119" t="e">
        <f>'AI-10'!$X77</f>
        <v>#VALUE!</v>
      </c>
      <c r="F25" s="130" t="e">
        <f>'AI-10'!$S77</f>
        <v>#NUM!</v>
      </c>
      <c r="G25" s="121" t="e">
        <f>'AI-10'!$T77</f>
        <v>#NUM!</v>
      </c>
      <c r="H25" s="129"/>
      <c r="I25" s="133" t="s">
        <v>80</v>
      </c>
      <c r="J25" s="117" t="e">
        <f>'LDP-10'!$V77</f>
        <v>#VALUE!</v>
      </c>
      <c r="K25" s="118" t="e">
        <f>'LDP-10'!$W77</f>
        <v>#VALUE!</v>
      </c>
      <c r="L25" s="119" t="e">
        <f>'LDP-10'!$X77</f>
        <v>#VALUE!</v>
      </c>
      <c r="M25" s="130" t="e">
        <f>'LDP-10'!$S77</f>
        <v>#DIV/0!</v>
      </c>
      <c r="N25" s="121" t="e">
        <f>'LDP-10'!$T77</f>
        <v>#DIV/0!</v>
      </c>
    </row>
    <row r="26" spans="2:15" s="131" customFormat="1" ht="12.75" customHeight="1" thickBot="1" x14ac:dyDescent="0.25">
      <c r="B26" s="139" t="s">
        <v>37</v>
      </c>
      <c r="C26" s="138" t="e">
        <f>'AI-10'!$V80</f>
        <v>#VALUE!</v>
      </c>
      <c r="D26" s="137" t="e">
        <f>'AI-10'!$W80</f>
        <v>#VALUE!</v>
      </c>
      <c r="E26" s="136" t="e">
        <f>'AI-10'!$X80</f>
        <v>#VALUE!</v>
      </c>
      <c r="F26" s="135" t="e">
        <f>'AI-10'!$S80</f>
        <v>#NUM!</v>
      </c>
      <c r="G26" s="134" t="e">
        <f>'AI-10'!$T80</f>
        <v>#NUM!</v>
      </c>
      <c r="H26" s="129"/>
      <c r="I26" s="139" t="s">
        <v>37</v>
      </c>
      <c r="J26" s="138" t="e">
        <f>'LDP-10'!$V80</f>
        <v>#VALUE!</v>
      </c>
      <c r="K26" s="137" t="e">
        <f>'LDP-10'!$W80</f>
        <v>#VALUE!</v>
      </c>
      <c r="L26" s="136" t="e">
        <f>'LDP-10'!$X80</f>
        <v>#VALUE!</v>
      </c>
      <c r="M26" s="135" t="e">
        <f>'LDP-10'!$S80</f>
        <v>#DIV/0!</v>
      </c>
      <c r="N26" s="134" t="e">
        <f>'LDP-10'!$T80</f>
        <v>#DIV/0!</v>
      </c>
    </row>
    <row r="27" spans="2:15" ht="12.75" customHeight="1" thickBot="1" x14ac:dyDescent="0.25">
      <c r="B27" s="140" t="s">
        <v>89</v>
      </c>
      <c r="C27" s="123" t="e">
        <f>'AI-10'!$V78</f>
        <v>#VALUE!</v>
      </c>
      <c r="D27" s="124" t="e">
        <f>'AI-10'!$W78</f>
        <v>#VALUE!</v>
      </c>
      <c r="E27" s="125" t="e">
        <f>'AI-10'!$X78</f>
        <v>#VALUE!</v>
      </c>
      <c r="F27" s="126" t="e">
        <f>'AI-10'!$S78</f>
        <v>#DIV/0!</v>
      </c>
      <c r="G27" s="127" t="e">
        <f>'AI-10'!$T78</f>
        <v>#DIV/0!</v>
      </c>
      <c r="H27" s="129"/>
      <c r="I27" s="140" t="s">
        <v>89</v>
      </c>
      <c r="J27" s="123" t="e">
        <f>'LDP-10'!$V78</f>
        <v>#VALUE!</v>
      </c>
      <c r="K27" s="124" t="e">
        <f>'LDP-10'!$W78</f>
        <v>#VALUE!</v>
      </c>
      <c r="L27" s="125" t="e">
        <f>'LDP-10'!$X78</f>
        <v>#VALUE!</v>
      </c>
      <c r="M27" s="126" t="e">
        <f>'LDP-10'!$S78</f>
        <v>#DIV/0!</v>
      </c>
      <c r="N27" s="127" t="e">
        <f>'LDP-10'!$T78</f>
        <v>#DIV/0!</v>
      </c>
    </row>
    <row r="28" spans="2:15" ht="12.75" customHeight="1" thickBot="1" x14ac:dyDescent="0.25">
      <c r="B28" s="149" t="s">
        <v>373</v>
      </c>
      <c r="C28" s="123" t="e">
        <f>'AI-10'!$V79</f>
        <v>#VALUE!</v>
      </c>
      <c r="D28" s="124" t="e">
        <f>'AI-10'!$W79</f>
        <v>#VALUE!</v>
      </c>
      <c r="E28" s="125" t="e">
        <f>'AI-10'!$X79</f>
        <v>#VALUE!</v>
      </c>
      <c r="F28" s="126" t="e">
        <f>'AI-10'!$S79</f>
        <v>#DIV/0!</v>
      </c>
      <c r="G28" s="127" t="e">
        <f>'AI-10'!$T79</f>
        <v>#DIV/0!</v>
      </c>
      <c r="H28" s="129"/>
      <c r="I28" s="149" t="s">
        <v>373</v>
      </c>
      <c r="J28" s="123" t="e">
        <f>'LDP-10'!$V79</f>
        <v>#VALUE!</v>
      </c>
      <c r="K28" s="124" t="e">
        <f>'LDP-10'!$W79</f>
        <v>#VALUE!</v>
      </c>
      <c r="L28" s="125" t="e">
        <f>'LDP-10'!$X79</f>
        <v>#VALUE!</v>
      </c>
      <c r="M28" s="126" t="e">
        <f>'LDP-10'!$S79</f>
        <v>#DIV/0!</v>
      </c>
      <c r="N28" s="127" t="e">
        <f>'LDP-10'!$T79</f>
        <v>#DIV/0!</v>
      </c>
    </row>
    <row r="29" spans="2:15" ht="12.75" customHeight="1" thickBot="1" x14ac:dyDescent="0.25"/>
    <row r="30" spans="2:15" ht="12.75" customHeight="1" thickBot="1" x14ac:dyDescent="0.25">
      <c r="C30" s="150" t="s">
        <v>76</v>
      </c>
      <c r="D30" s="151"/>
      <c r="E30" s="151"/>
      <c r="F30" s="151"/>
      <c r="G30" s="152"/>
      <c r="I30" s="102"/>
      <c r="J30" s="150" t="s">
        <v>77</v>
      </c>
      <c r="K30" s="151"/>
      <c r="L30" s="151"/>
      <c r="M30" s="151"/>
      <c r="N30" s="152"/>
    </row>
    <row r="31" spans="2:15" ht="12.75" customHeight="1" x14ac:dyDescent="0.2">
      <c r="C31" s="150" t="str">
        <f>CONCATENATE("Over ", Summary!$J$3)</f>
        <v>Over HPM8.0</v>
      </c>
      <c r="D31" s="151"/>
      <c r="E31" s="151"/>
      <c r="F31" s="151"/>
      <c r="G31" s="152"/>
      <c r="I31" s="102"/>
      <c r="J31" s="150" t="str">
        <f>CONCATENATE("Over ", Summary!$J$3)</f>
        <v>Over HPM8.0</v>
      </c>
      <c r="K31" s="151"/>
      <c r="L31" s="151"/>
      <c r="M31" s="151"/>
      <c r="N31" s="152"/>
    </row>
    <row r="32" spans="2:15" ht="12.75" customHeight="1" thickBot="1" x14ac:dyDescent="0.25">
      <c r="C32" s="105" t="s">
        <v>14</v>
      </c>
      <c r="D32" s="106" t="s">
        <v>15</v>
      </c>
      <c r="E32" s="107" t="s">
        <v>16</v>
      </c>
      <c r="F32" s="108" t="s">
        <v>32</v>
      </c>
      <c r="G32" s="109" t="s">
        <v>33</v>
      </c>
      <c r="I32" s="102"/>
      <c r="J32" s="105" t="s">
        <v>14</v>
      </c>
      <c r="K32" s="106" t="s">
        <v>15</v>
      </c>
      <c r="L32" s="107" t="s">
        <v>16</v>
      </c>
      <c r="M32" s="108" t="s">
        <v>32</v>
      </c>
      <c r="N32" s="109" t="s">
        <v>33</v>
      </c>
    </row>
    <row r="33" spans="2:14" ht="12.75" customHeight="1" x14ac:dyDescent="0.2">
      <c r="B33" s="110" t="str">
        <f>'AI-10'!$B$3</f>
        <v>Tango2</v>
      </c>
      <c r="C33" s="111" t="e">
        <f>'RA-10'!$V$3</f>
        <v>#VALUE!</v>
      </c>
      <c r="D33" s="112" t="e">
        <f>'RA-10'!$W$3</f>
        <v>#VALUE!</v>
      </c>
      <c r="E33" s="113" t="e">
        <f>'RA-10'!$X$3</f>
        <v>#VALUE!</v>
      </c>
      <c r="F33" s="114" t="e">
        <f>GEOMEAN('RA-10'!$S$3:'RA-10'!$S$6)</f>
        <v>#NUM!</v>
      </c>
      <c r="G33" s="115" t="e">
        <f>GEOMEAN('RA-10'!$T$3:'RA-10'!$T$6)</f>
        <v>#NUM!</v>
      </c>
      <c r="I33" s="110" t="str">
        <f>'AI-10'!$B$3</f>
        <v>Tango2</v>
      </c>
      <c r="J33" s="111" t="e">
        <f>'LDB-10'!$V$3</f>
        <v>#VALUE!</v>
      </c>
      <c r="K33" s="112" t="e">
        <f>'LDB-10'!$W$3</f>
        <v>#VALUE!</v>
      </c>
      <c r="L33" s="113" t="e">
        <f>'LDB-10'!$X$3</f>
        <v>#VALUE!</v>
      </c>
      <c r="M33" s="114" t="e">
        <f>GEOMEAN('LDB-10'!$S$3:'LDB-10'!$S$6)</f>
        <v>#NUM!</v>
      </c>
      <c r="N33" s="115" t="e">
        <f>GEOMEAN('LDB-10'!$T$3:'LDB-10'!$T$6)</f>
        <v>#NUM!</v>
      </c>
    </row>
    <row r="34" spans="2:14" ht="12.75" customHeight="1" x14ac:dyDescent="0.2">
      <c r="B34" s="116" t="str">
        <f>'AI-10'!$B$7</f>
        <v>ParkRunning3</v>
      </c>
      <c r="C34" s="117" t="e">
        <f>'RA-10'!$V$7</f>
        <v>#VALUE!</v>
      </c>
      <c r="D34" s="118" t="e">
        <f>'RA-10'!$W$7</f>
        <v>#VALUE!</v>
      </c>
      <c r="E34" s="119" t="e">
        <f>'RA-10'!$X$7</f>
        <v>#VALUE!</v>
      </c>
      <c r="F34" s="120" t="e">
        <f>GEOMEAN('RA-10'!$S$7:'RA-10'!$S$10)</f>
        <v>#NUM!</v>
      </c>
      <c r="G34" s="121" t="e">
        <f>GEOMEAN('RA-10'!$T$7:'RA-10'!$T$10)</f>
        <v>#NUM!</v>
      </c>
      <c r="I34" s="116" t="str">
        <f>'AI-10'!$B$7</f>
        <v>ParkRunning3</v>
      </c>
      <c r="J34" s="117" t="e">
        <f>'LDB-10'!$V$7</f>
        <v>#VALUE!</v>
      </c>
      <c r="K34" s="118" t="e">
        <f>'LDB-10'!$W$7</f>
        <v>#VALUE!</v>
      </c>
      <c r="L34" s="119" t="e">
        <f>'LDB-10'!$X$7</f>
        <v>#VALUE!</v>
      </c>
      <c r="M34" s="120" t="e">
        <f>GEOMEAN('LDB-10'!$S$7:'LDB-10'!$S$10)</f>
        <v>#NUM!</v>
      </c>
      <c r="N34" s="121" t="e">
        <f>GEOMEAN('LDB-10'!$T$7:'LDB-10'!$T$10)</f>
        <v>#NUM!</v>
      </c>
    </row>
    <row r="35" spans="2:14" ht="12.75" customHeight="1" x14ac:dyDescent="0.2">
      <c r="B35" s="116" t="str">
        <f>'AI-10'!$B$11</f>
        <v>Campfire</v>
      </c>
      <c r="C35" s="117" t="e">
        <f>'RA-10'!$V$11</f>
        <v>#VALUE!</v>
      </c>
      <c r="D35" s="118" t="e">
        <f>'RA-10'!$W$11</f>
        <v>#VALUE!</v>
      </c>
      <c r="E35" s="119" t="e">
        <f>'RA-10'!$X$11</f>
        <v>#VALUE!</v>
      </c>
      <c r="F35" s="130" t="e">
        <f>GEOMEAN('RA-10'!$S$11:'RA-10'!$S$14)</f>
        <v>#NUM!</v>
      </c>
      <c r="G35" s="121" t="e">
        <f>GEOMEAN('RA-10'!$T$11:'RA-10'!$T$14)</f>
        <v>#NUM!</v>
      </c>
      <c r="I35" s="116" t="str">
        <f>'AI-10'!$B$11</f>
        <v>Campfire</v>
      </c>
      <c r="J35" s="117" t="e">
        <f>'LDB-10'!$V$11</f>
        <v>#VALUE!</v>
      </c>
      <c r="K35" s="118" t="e">
        <f>'LDB-10'!$W$11</f>
        <v>#VALUE!</v>
      </c>
      <c r="L35" s="119" t="e">
        <f>'LDB-10'!$X$11</f>
        <v>#VALUE!</v>
      </c>
      <c r="M35" s="130" t="e">
        <f>GEOMEAN('LDB-10'!$S$11:'LDB-10'!$S$14)</f>
        <v>#NUM!</v>
      </c>
      <c r="N35" s="121" t="e">
        <f>GEOMEAN('LDB-10'!$T$11:'LDB-10'!$T$14)</f>
        <v>#NUM!</v>
      </c>
    </row>
    <row r="36" spans="2:14" ht="12.75" customHeight="1" thickBot="1" x14ac:dyDescent="0.25">
      <c r="B36" s="122" t="str">
        <f>'AI-10'!$B$15</f>
        <v>DaylightRoad2</v>
      </c>
      <c r="C36" s="123" t="e">
        <f>'RA-10'!$V$15</f>
        <v>#VALUE!</v>
      </c>
      <c r="D36" s="124" t="e">
        <f>'RA-10'!$W$15</f>
        <v>#VALUE!</v>
      </c>
      <c r="E36" s="125" t="e">
        <f>'RA-10'!$X$15</f>
        <v>#VALUE!</v>
      </c>
      <c r="F36" s="126" t="e">
        <f>GEOMEAN('RA-10'!$S$15:'RA-10'!$S$18)</f>
        <v>#NUM!</v>
      </c>
      <c r="G36" s="127" t="e">
        <f>GEOMEAN('RA-10'!$T$15:'RA-10'!$T$18)</f>
        <v>#NUM!</v>
      </c>
      <c r="I36" s="122" t="str">
        <f>'AI-10'!$B$15</f>
        <v>DaylightRoad2</v>
      </c>
      <c r="J36" s="123" t="e">
        <f>'LDB-10'!$V$15</f>
        <v>#VALUE!</v>
      </c>
      <c r="K36" s="124" t="e">
        <f>'LDB-10'!$W$15</f>
        <v>#VALUE!</v>
      </c>
      <c r="L36" s="125" t="e">
        <f>'LDB-10'!$X$15</f>
        <v>#VALUE!</v>
      </c>
      <c r="M36" s="126" t="e">
        <f>GEOMEAN('LDB-10'!$S$15:'LDB-10'!$S$18)</f>
        <v>#NUM!</v>
      </c>
      <c r="N36" s="127" t="e">
        <f>GEOMEAN('LDB-10'!$T$15:'LDB-10'!$T$18)</f>
        <v>#NUM!</v>
      </c>
    </row>
    <row r="37" spans="2:14" ht="12.75" customHeight="1" x14ac:dyDescent="0.2">
      <c r="B37" s="110" t="str">
        <f>'AI-10'!$B$19</f>
        <v>Cactus</v>
      </c>
      <c r="C37" s="111">
        <f>'RA-10'!$V$19</f>
        <v>-1.5205044010194735E-3</v>
      </c>
      <c r="D37" s="112">
        <f>'RA-10'!$W$19</f>
        <v>-3.9939259578423147E-3</v>
      </c>
      <c r="E37" s="113">
        <f>'RA-10'!$X$19</f>
        <v>-2.2566434578318306E-3</v>
      </c>
      <c r="F37" s="114">
        <f>GEOMEAN('RA-10'!$S$19:'RA-10'!$S$22)</f>
        <v>1.0266731826681565</v>
      </c>
      <c r="G37" s="115">
        <f>GEOMEAN('RA-10'!$T$19:'RA-10'!$T$22)</f>
        <v>1.0183740319086543</v>
      </c>
      <c r="I37" s="110" t="str">
        <f>'AI-10'!$B$19</f>
        <v>Cactus</v>
      </c>
      <c r="J37" s="111" t="e">
        <f>'LDB-10'!$V$19</f>
        <v>#VALUE!</v>
      </c>
      <c r="K37" s="112" t="e">
        <f>'LDB-10'!$W$19</f>
        <v>#VALUE!</v>
      </c>
      <c r="L37" s="113" t="e">
        <f>'LDB-10'!$X$19</f>
        <v>#VALUE!</v>
      </c>
      <c r="M37" s="114" t="e">
        <f>GEOMEAN('LDB-10'!$S$19:'LDB-10'!$S$22)</f>
        <v>#NUM!</v>
      </c>
      <c r="N37" s="115" t="e">
        <f>GEOMEAN('LDB-10'!$T$19:'LDB-10'!$T$22)</f>
        <v>#NUM!</v>
      </c>
    </row>
    <row r="38" spans="2:14" ht="12.75" customHeight="1" x14ac:dyDescent="0.2">
      <c r="B38" s="116" t="str">
        <f>'AI-10'!$B$23</f>
        <v>BasketballDrive</v>
      </c>
      <c r="C38" s="117" t="e">
        <f>'RA-10'!$V$23</f>
        <v>#VALUE!</v>
      </c>
      <c r="D38" s="118" t="e">
        <f>'RA-10'!$W$23</f>
        <v>#VALUE!</v>
      </c>
      <c r="E38" s="119" t="e">
        <f>'RA-10'!$X$23</f>
        <v>#VALUE!</v>
      </c>
      <c r="F38" s="120" t="e">
        <f>GEOMEAN('RA-10'!$S$23:'RA-10'!$S$26)</f>
        <v>#NUM!</v>
      </c>
      <c r="G38" s="121" t="e">
        <f>GEOMEAN('RA-10'!$T$23:'RA-10'!$T$26)</f>
        <v>#NUM!</v>
      </c>
      <c r="I38" s="116" t="str">
        <f>'AI-10'!$B$23</f>
        <v>BasketballDrive</v>
      </c>
      <c r="J38" s="117" t="e">
        <f>'LDB-10'!$V$23</f>
        <v>#VALUE!</v>
      </c>
      <c r="K38" s="118" t="e">
        <f>'LDB-10'!$W$23</f>
        <v>#VALUE!</v>
      </c>
      <c r="L38" s="119" t="e">
        <f>'LDB-10'!$X$23</f>
        <v>#VALUE!</v>
      </c>
      <c r="M38" s="120" t="e">
        <f>GEOMEAN('LDB-10'!$S$23:'LDB-10'!$S$26)</f>
        <v>#NUM!</v>
      </c>
      <c r="N38" s="121" t="e">
        <f>GEOMEAN('LDB-10'!$T$23:'LDB-10'!$T$26)</f>
        <v>#NUM!</v>
      </c>
    </row>
    <row r="39" spans="2:14" ht="12.75" customHeight="1" x14ac:dyDescent="0.2">
      <c r="B39" s="116" t="str">
        <f>'AI-10'!$B$27</f>
        <v>MarketPlace</v>
      </c>
      <c r="C39" s="117">
        <f>'RA-10'!$V$27</f>
        <v>-5.843720047372547E-3</v>
      </c>
      <c r="D39" s="118">
        <f>'RA-10'!$W$27</f>
        <v>-5.9294011483619347E-3</v>
      </c>
      <c r="E39" s="119">
        <f>'RA-10'!$X$27</f>
        <v>-3.9702343202250301E-3</v>
      </c>
      <c r="F39" s="120">
        <f>GEOMEAN('RA-10'!$S$27:'RA-10'!$S$30)</f>
        <v>1.0197836682915906</v>
      </c>
      <c r="G39" s="121">
        <f>GEOMEAN('RA-10'!$T$27:'RA-10'!$T$30)</f>
        <v>1.0123870683687408</v>
      </c>
      <c r="I39" s="116" t="str">
        <f>'AI-10'!$B$27</f>
        <v>MarketPlace</v>
      </c>
      <c r="J39" s="117" t="e">
        <f>'LDB-10'!$V$27</f>
        <v>#VALUE!</v>
      </c>
      <c r="K39" s="118" t="e">
        <f>'LDB-10'!$W$27</f>
        <v>#VALUE!</v>
      </c>
      <c r="L39" s="119" t="e">
        <f>'LDB-10'!$X$27</f>
        <v>#VALUE!</v>
      </c>
      <c r="M39" s="120" t="e">
        <f>GEOMEAN('LDB-10'!$S$27:'LDB-10'!$S$30)</f>
        <v>#NUM!</v>
      </c>
      <c r="N39" s="121" t="e">
        <f>GEOMEAN('LDB-10'!$T$27:'LDB-10'!$T$30)</f>
        <v>#NUM!</v>
      </c>
    </row>
    <row r="40" spans="2:14" ht="12.75" customHeight="1" thickBot="1" x14ac:dyDescent="0.25">
      <c r="B40" s="122" t="str">
        <f>'AI-10'!$B$31</f>
        <v>RitualDance</v>
      </c>
      <c r="C40" s="123">
        <f>'RA-10'!$V$31</f>
        <v>-2.026123455214246E-3</v>
      </c>
      <c r="D40" s="124">
        <f>'RA-10'!$W$31</f>
        <v>-3.937482036279194E-3</v>
      </c>
      <c r="E40" s="125">
        <f>'RA-10'!$X$31</f>
        <v>-1.7965867186776618E-3</v>
      </c>
      <c r="F40" s="126">
        <f>GEOMEAN('RA-10'!$S$31:'RA-10'!$S$34)</f>
        <v>1.0448543880657433</v>
      </c>
      <c r="G40" s="127">
        <f>GEOMEAN('RA-10'!$T$31:'RA-10'!$T$34)</f>
        <v>1.0105190318801489</v>
      </c>
      <c r="I40" s="122" t="str">
        <f>'AI-10'!$B$31</f>
        <v>RitualDance</v>
      </c>
      <c r="J40" s="123" t="e">
        <f>'LDB-10'!$V$31</f>
        <v>#VALUE!</v>
      </c>
      <c r="K40" s="124" t="e">
        <f>'LDB-10'!$W$31</f>
        <v>#VALUE!</v>
      </c>
      <c r="L40" s="125" t="e">
        <f>'LDB-10'!$X$31</f>
        <v>#VALUE!</v>
      </c>
      <c r="M40" s="126" t="e">
        <f>GEOMEAN('LDB-10'!$S$31:'LDB-10'!$S$34)</f>
        <v>#NUM!</v>
      </c>
      <c r="N40" s="127" t="e">
        <f>GEOMEAN('LDB-10'!$T$31:'LDB-10'!$T$34)</f>
        <v>#NUM!</v>
      </c>
    </row>
    <row r="41" spans="2:14" ht="12.75" customHeight="1" x14ac:dyDescent="0.2">
      <c r="B41" s="110" t="str">
        <f>'AI-10'!$B$35</f>
        <v>City</v>
      </c>
      <c r="C41" s="111">
        <f>'RA-10'!$V$35</f>
        <v>-7.1803378902539627E-3</v>
      </c>
      <c r="D41" s="112">
        <f>'RA-10'!$W$35</f>
        <v>-6.1018911307787471E-3</v>
      </c>
      <c r="E41" s="113">
        <f>'RA-10'!$X$35</f>
        <v>-3.4285042901786023E-3</v>
      </c>
      <c r="F41" s="114">
        <f>GEOMEAN('RA-10'!$S$35:'RA-10'!$S$38)</f>
        <v>1.0128548148875023</v>
      </c>
      <c r="G41" s="115">
        <f>GEOMEAN('RA-10'!$T$35:'RA-10'!$T$38)</f>
        <v>1.0133777915999682</v>
      </c>
      <c r="I41" s="110" t="str">
        <f>'AI-10'!$B$35</f>
        <v>City</v>
      </c>
      <c r="J41" s="111" t="e">
        <f>'LDB-10'!$V$35</f>
        <v>#VALUE!</v>
      </c>
      <c r="K41" s="112" t="e">
        <f>'LDB-10'!$W$35</f>
        <v>#VALUE!</v>
      </c>
      <c r="L41" s="113" t="e">
        <f>'LDB-10'!$X$35</f>
        <v>#VALUE!</v>
      </c>
      <c r="M41" s="114" t="e">
        <f>GEOMEAN('LDB-10'!$S$35:'LDB-10'!$S$38)</f>
        <v>#NUM!</v>
      </c>
      <c r="N41" s="115" t="e">
        <f>GEOMEAN('LDB-10'!$T$35:'LDB-10'!$T$38)</f>
        <v>#NUM!</v>
      </c>
    </row>
    <row r="42" spans="2:14" ht="12.75" customHeight="1" x14ac:dyDescent="0.2">
      <c r="B42" s="116" t="str">
        <f>'AI-10'!$B$39</f>
        <v>Crew</v>
      </c>
      <c r="C42" s="117">
        <f>'RA-10'!$V$39</f>
        <v>-4.2582959059512815E-3</v>
      </c>
      <c r="D42" s="118">
        <f>'RA-10'!$W$39</f>
        <v>-1.672850974417095E-2</v>
      </c>
      <c r="E42" s="119">
        <f>'RA-10'!$X$39</f>
        <v>-3.4806664592033076E-3</v>
      </c>
      <c r="F42" s="120">
        <f>GEOMEAN('RA-10'!$S$39:'RA-10'!$S$42)</f>
        <v>1.0179873844773071</v>
      </c>
      <c r="G42" s="121">
        <f>GEOMEAN('RA-10'!$T$39:'RA-10'!$T$42)</f>
        <v>0.99225174084694234</v>
      </c>
      <c r="I42" s="116" t="str">
        <f>'AI-10'!$B$39</f>
        <v>Crew</v>
      </c>
      <c r="J42" s="117" t="e">
        <f>'LDB-10'!$V$39</f>
        <v>#VALUE!</v>
      </c>
      <c r="K42" s="118" t="e">
        <f>'LDB-10'!$W$39</f>
        <v>#VALUE!</v>
      </c>
      <c r="L42" s="119" t="e">
        <f>'LDB-10'!$X$39</f>
        <v>#VALUE!</v>
      </c>
      <c r="M42" s="120" t="e">
        <f>GEOMEAN('LDB-10'!$S$39:'LDB-10'!$S$42)</f>
        <v>#NUM!</v>
      </c>
      <c r="N42" s="121" t="e">
        <f>GEOMEAN('LDB-10'!$T$39:'LDB-10'!$T$42)</f>
        <v>#NUM!</v>
      </c>
    </row>
    <row r="43" spans="2:14" ht="12.75" customHeight="1" x14ac:dyDescent="0.2">
      <c r="B43" s="116" t="str">
        <f>'AI-10'!$B$43</f>
        <v>vidyo1</v>
      </c>
      <c r="C43" s="117">
        <f>'RA-10'!$V$43</f>
        <v>-4.3651211621215102E-3</v>
      </c>
      <c r="D43" s="118">
        <f>'RA-10'!$W$43</f>
        <v>-7.3047348456435346E-3</v>
      </c>
      <c r="E43" s="119">
        <f>'RA-10'!$X$43</f>
        <v>-1.9986388331024729E-3</v>
      </c>
      <c r="F43" s="120">
        <f>GEOMEAN('RA-10'!$S$43:'RA-10'!$S$46)</f>
        <v>0.9925114055273595</v>
      </c>
      <c r="G43" s="121">
        <f>GEOMEAN('RA-10'!$T$43:'RA-10'!$T$46)</f>
        <v>0.98902662963852184</v>
      </c>
      <c r="I43" s="116" t="str">
        <f>'AI-10'!$B$43</f>
        <v>vidyo1</v>
      </c>
      <c r="J43" s="117" t="e">
        <f>'LDB-10'!$V$43</f>
        <v>#VALUE!</v>
      </c>
      <c r="K43" s="118" t="e">
        <f>'LDB-10'!$W$43</f>
        <v>#VALUE!</v>
      </c>
      <c r="L43" s="119" t="e">
        <f>'LDB-10'!$X$43</f>
        <v>#VALUE!</v>
      </c>
      <c r="M43" s="120" t="e">
        <f>GEOMEAN('LDB-10'!$S$43:'LDB-10'!$S$46)</f>
        <v>#NUM!</v>
      </c>
      <c r="N43" s="121" t="e">
        <f>GEOMEAN('LDB-10'!$T$43:'LDB-10'!$T$46)</f>
        <v>#NUM!</v>
      </c>
    </row>
    <row r="44" spans="2:14" ht="12.75" customHeight="1" thickBot="1" x14ac:dyDescent="0.25">
      <c r="B44" s="122" t="str">
        <f>'AI-10'!$B$47</f>
        <v>vidyo3</v>
      </c>
      <c r="C44" s="123">
        <f>'RA-10'!$V$47</f>
        <v>-6.4228938571352368E-3</v>
      </c>
      <c r="D44" s="124">
        <f>'RA-10'!$W$47</f>
        <v>-4.388603790132839E-3</v>
      </c>
      <c r="E44" s="125">
        <f>'RA-10'!$X$47</f>
        <v>-4.7792162030491081E-3</v>
      </c>
      <c r="F44" s="126">
        <f>GEOMEAN('RA-10'!$S$47:'RA-10'!$S$50)</f>
        <v>1.0019701516994544</v>
      </c>
      <c r="G44" s="127">
        <f>GEOMEAN('RA-10'!$T$47:'RA-10'!$T$50)</f>
        <v>0.99544251140907591</v>
      </c>
      <c r="I44" s="122" t="str">
        <f>'AI-10'!$B$47</f>
        <v>vidyo3</v>
      </c>
      <c r="J44" s="123" t="e">
        <f>'LDB-10'!$V$47</f>
        <v>#VALUE!</v>
      </c>
      <c r="K44" s="124" t="e">
        <f>'LDB-10'!$W$47</f>
        <v>#VALUE!</v>
      </c>
      <c r="L44" s="125" t="e">
        <f>'LDB-10'!$X$47</f>
        <v>#VALUE!</v>
      </c>
      <c r="M44" s="126" t="e">
        <f>GEOMEAN('LDB-10'!$S$47:'LDB-10'!$S$50)</f>
        <v>#NUM!</v>
      </c>
      <c r="N44" s="127" t="e">
        <f>GEOMEAN('LDB-10'!$T$47:'LDB-10'!$T$50)</f>
        <v>#NUM!</v>
      </c>
    </row>
    <row r="45" spans="2:14" ht="12.75" customHeight="1" x14ac:dyDescent="0.2">
      <c r="B45" s="110" t="str">
        <f>'AI-10'!$B$51</f>
        <v>MetroEntrance</v>
      </c>
      <c r="C45" s="111" t="e">
        <f>'RA-10'!$V$51</f>
        <v>#VALUE!</v>
      </c>
      <c r="D45" s="112" t="e">
        <f>'RA-10'!$W$51</f>
        <v>#VALUE!</v>
      </c>
      <c r="E45" s="113" t="e">
        <f>'RA-10'!$X$51</f>
        <v>#VALUE!</v>
      </c>
      <c r="F45" s="114" t="e">
        <f>GEOMEAN('RA-10'!$S$51:'RA-10'!$S$54)</f>
        <v>#DIV/0!</v>
      </c>
      <c r="G45" s="115" t="e">
        <f>GEOMEAN('RA-10'!$T$51:'RA-10'!$T$54)</f>
        <v>#DIV/0!</v>
      </c>
      <c r="I45" s="110" t="str">
        <f>'AI-10'!$B$51</f>
        <v>MetroEntrance</v>
      </c>
      <c r="J45" s="111" t="e">
        <f>'LDB-10'!$V$51</f>
        <v>#VALUE!</v>
      </c>
      <c r="K45" s="112" t="e">
        <f>'LDB-10'!$W$51</f>
        <v>#VALUE!</v>
      </c>
      <c r="L45" s="113" t="e">
        <f>'LDB-10'!$X$51</f>
        <v>#VALUE!</v>
      </c>
      <c r="M45" s="114" t="e">
        <f>GEOMEAN('LDB-10'!$S$51:'LDB-10'!$S$54)</f>
        <v>#DIV/0!</v>
      </c>
      <c r="N45" s="115" t="e">
        <f>GEOMEAN('LDB-10'!$T$51:'LDB-10'!$T$54)</f>
        <v>#DIV/0!</v>
      </c>
    </row>
    <row r="46" spans="2:14" ht="12.75" customHeight="1" thickBot="1" x14ac:dyDescent="0.25">
      <c r="B46" s="122" t="str">
        <f>'AI-10'!$B$55</f>
        <v>NightTraffic3</v>
      </c>
      <c r="C46" s="123" t="e">
        <f>'RA-10'!$V$55</f>
        <v>#VALUE!</v>
      </c>
      <c r="D46" s="124" t="e">
        <f>'RA-10'!$W$55</f>
        <v>#VALUE!</v>
      </c>
      <c r="E46" s="125" t="e">
        <f>'RA-10'!$X$55</f>
        <v>#VALUE!</v>
      </c>
      <c r="F46" s="126" t="e">
        <f>GEOMEAN('RA-10'!$S$55:'RA-10'!$S$58)</f>
        <v>#DIV/0!</v>
      </c>
      <c r="G46" s="127" t="e">
        <f>GEOMEAN('RA-10'!$T$55:'RA-10'!$T$58)</f>
        <v>#DIV/0!</v>
      </c>
      <c r="I46" s="122" t="str">
        <f>'AI-10'!$B$55</f>
        <v>NightTraffic3</v>
      </c>
      <c r="J46" s="123" t="e">
        <f>'LDB-10'!$V$55</f>
        <v>#VALUE!</v>
      </c>
      <c r="K46" s="124" t="e">
        <f>'LDB-10'!$W$55</f>
        <v>#VALUE!</v>
      </c>
      <c r="L46" s="125" t="e">
        <f>'LDB-10'!$X$55</f>
        <v>#VALUE!</v>
      </c>
      <c r="M46" s="126" t="e">
        <f>GEOMEAN('LDB-10'!$S$55:'LDB-10'!$S$58)</f>
        <v>#DIV/0!</v>
      </c>
      <c r="N46" s="127" t="e">
        <f>GEOMEAN('LDB-10'!$T$55:'LDB-10'!$T$58)</f>
        <v>#DIV/0!</v>
      </c>
    </row>
    <row r="47" spans="2:14" ht="12.75" customHeight="1" x14ac:dyDescent="0.2">
      <c r="B47" s="110" t="str">
        <f>'AI-10'!$B$59</f>
        <v>FlyingGraphics</v>
      </c>
      <c r="C47" s="111" t="e">
        <f>'RA-10'!$V$59</f>
        <v>#VALUE!</v>
      </c>
      <c r="D47" s="112" t="e">
        <f>'RA-10'!$W$59</f>
        <v>#VALUE!</v>
      </c>
      <c r="E47" s="113" t="e">
        <f>'RA-10'!$X$59</f>
        <v>#VALUE!</v>
      </c>
      <c r="F47" s="114" t="e">
        <f>GEOMEAN('RA-10'!$S$59:'RA-10'!$S$62)</f>
        <v>#DIV/0!</v>
      </c>
      <c r="G47" s="115" t="e">
        <f>GEOMEAN('RA-10'!$T$59:'RA-10'!$T$62)</f>
        <v>#DIV/0!</v>
      </c>
      <c r="I47" s="110" t="str">
        <f>'AI-10'!$B$59</f>
        <v>FlyingGraphics</v>
      </c>
      <c r="J47" s="111" t="e">
        <f>'LDB-10'!$V$59</f>
        <v>#VALUE!</v>
      </c>
      <c r="K47" s="112" t="e">
        <f>'LDB-10'!$W$59</f>
        <v>#VALUE!</v>
      </c>
      <c r="L47" s="113" t="e">
        <f>'LDB-10'!$X$59</f>
        <v>#VALUE!</v>
      </c>
      <c r="M47" s="114" t="e">
        <f>GEOMEAN('LDB-10'!$S$59:'LDB-10'!$S$62)</f>
        <v>#DIV/0!</v>
      </c>
      <c r="N47" s="115" t="e">
        <f>GEOMEAN('LDB-10'!$T$59:'LDB-10'!$T$62)</f>
        <v>#DIV/0!</v>
      </c>
    </row>
    <row r="48" spans="2:14" ht="12.75" customHeight="1" x14ac:dyDescent="0.2">
      <c r="B48" s="116" t="str">
        <f>'AI-10'!$B$63</f>
        <v>Desktop</v>
      </c>
      <c r="C48" s="117" t="e">
        <f>'RA-10'!$V$63</f>
        <v>#VALUE!</v>
      </c>
      <c r="D48" s="118" t="e">
        <f>'RA-10'!$W$63</f>
        <v>#VALUE!</v>
      </c>
      <c r="E48" s="119" t="e">
        <f>'RA-10'!$X$63</f>
        <v>#VALUE!</v>
      </c>
      <c r="F48" s="120" t="e">
        <f>GEOMEAN('RA-10'!$S$63:'RA-10'!$S$66)</f>
        <v>#DIV/0!</v>
      </c>
      <c r="G48" s="121" t="e">
        <f>GEOMEAN('RA-10'!$T$63:'RA-10'!$T$66)</f>
        <v>#DIV/0!</v>
      </c>
      <c r="I48" s="116" t="str">
        <f>'AI-10'!$B$63</f>
        <v>Desktop</v>
      </c>
      <c r="J48" s="117" t="e">
        <f>'LDB-10'!$V$63</f>
        <v>#VALUE!</v>
      </c>
      <c r="K48" s="118" t="e">
        <f>'LDB-10'!$W$63</f>
        <v>#VALUE!</v>
      </c>
      <c r="L48" s="119" t="e">
        <f>'LDB-10'!$X$63</f>
        <v>#VALUE!</v>
      </c>
      <c r="M48" s="120" t="e">
        <f>GEOMEAN('LDB-10'!$S$63:'LDB-10'!$S$66)</f>
        <v>#DIV/0!</v>
      </c>
      <c r="N48" s="121" t="e">
        <f>GEOMEAN('LDB-10'!$T$63:'LDB-10'!$T$66)</f>
        <v>#DIV/0!</v>
      </c>
    </row>
    <row r="49" spans="2:14" ht="12.75" customHeight="1" x14ac:dyDescent="0.2">
      <c r="B49" s="116" t="str">
        <f>'AI-10'!$B$67</f>
        <v>ArenaOfValor</v>
      </c>
      <c r="C49" s="117" t="e">
        <f>'RA-10'!$V$67</f>
        <v>#VALUE!</v>
      </c>
      <c r="D49" s="118" t="e">
        <f>'RA-10'!$W$67</f>
        <v>#VALUE!</v>
      </c>
      <c r="E49" s="119" t="e">
        <f>'RA-10'!$X$67</f>
        <v>#VALUE!</v>
      </c>
      <c r="F49" s="120" t="e">
        <f>GEOMEAN('RA-10'!$S$67:'RA-10'!$S$70)</f>
        <v>#DIV/0!</v>
      </c>
      <c r="G49" s="121" t="e">
        <f>GEOMEAN('RA-10'!$T$67:'RA-10'!$T$70)</f>
        <v>#DIV/0!</v>
      </c>
      <c r="I49" s="116" t="str">
        <f>'AI-10'!$B$67</f>
        <v>ArenaOfValor</v>
      </c>
      <c r="J49" s="117" t="e">
        <f>'LDB-10'!$V$67</f>
        <v>#VALUE!</v>
      </c>
      <c r="K49" s="118" t="e">
        <f>'LDB-10'!$W$67</f>
        <v>#VALUE!</v>
      </c>
      <c r="L49" s="119" t="e">
        <f>'LDB-10'!$X$67</f>
        <v>#VALUE!</v>
      </c>
      <c r="M49" s="120" t="e">
        <f>GEOMEAN('LDB-10'!$S$67:'LDB-10'!$S$70)</f>
        <v>#DIV/0!</v>
      </c>
      <c r="N49" s="121" t="e">
        <f>GEOMEAN('LDB-10'!$T$67:'LDB-10'!$T$70)</f>
        <v>#DIV/0!</v>
      </c>
    </row>
    <row r="50" spans="2:14" ht="12.75" customHeight="1" thickBot="1" x14ac:dyDescent="0.25">
      <c r="B50" s="122" t="str">
        <f>'AI-10'!$B$71</f>
        <v>program_vidyo</v>
      </c>
      <c r="C50" s="123" t="e">
        <f>'RA-10'!$V$71</f>
        <v>#VALUE!</v>
      </c>
      <c r="D50" s="124" t="e">
        <f>'RA-10'!$W$71</f>
        <v>#VALUE!</v>
      </c>
      <c r="E50" s="125" t="e">
        <f>'RA-10'!$X$71</f>
        <v>#VALUE!</v>
      </c>
      <c r="F50" s="126" t="e">
        <f>GEOMEAN('RA-10'!$S$71:'RA-10'!$S$74)</f>
        <v>#DIV/0!</v>
      </c>
      <c r="G50" s="127" t="e">
        <f>GEOMEAN('RA-10'!$T$71:'RA-10'!$T$74)</f>
        <v>#DIV/0!</v>
      </c>
      <c r="I50" s="122" t="str">
        <f>'AI-10'!$B$71</f>
        <v>program_vidyo</v>
      </c>
      <c r="J50" s="123" t="e">
        <f>'LDB-10'!$V$71</f>
        <v>#VALUE!</v>
      </c>
      <c r="K50" s="124" t="e">
        <f>'LDB-10'!$W$71</f>
        <v>#VALUE!</v>
      </c>
      <c r="L50" s="125" t="e">
        <f>'LDB-10'!$X$71</f>
        <v>#VALUE!</v>
      </c>
      <c r="M50" s="126" t="e">
        <f>GEOMEAN('LDB-10'!$S$71:'LDB-10'!$S$74)</f>
        <v>#DIV/0!</v>
      </c>
      <c r="N50" s="127" t="e">
        <f>GEOMEAN('LDB-10'!$T$71:'LDB-10'!$T$74)</f>
        <v>#DIV/0!</v>
      </c>
    </row>
    <row r="51" spans="2:14" ht="12.75" customHeight="1" x14ac:dyDescent="0.2">
      <c r="B51" s="132" t="s">
        <v>78</v>
      </c>
      <c r="C51" s="111" t="e">
        <f>'RA-10'!$V75</f>
        <v>#VALUE!</v>
      </c>
      <c r="D51" s="112" t="e">
        <f>'RA-10'!$W75</f>
        <v>#VALUE!</v>
      </c>
      <c r="E51" s="113" t="e">
        <f>'RA-10'!$X75</f>
        <v>#VALUE!</v>
      </c>
      <c r="F51" s="128" t="e">
        <f>'RA-10'!$S75</f>
        <v>#NUM!</v>
      </c>
      <c r="G51" s="115" t="e">
        <f>'RA-10'!$T75</f>
        <v>#NUM!</v>
      </c>
      <c r="I51" s="132" t="s">
        <v>78</v>
      </c>
      <c r="J51" s="111" t="e">
        <f>'LDB-10'!$V75</f>
        <v>#VALUE!</v>
      </c>
      <c r="K51" s="112" t="e">
        <f>'LDB-10'!$W75</f>
        <v>#VALUE!</v>
      </c>
      <c r="L51" s="113" t="e">
        <f>'LDB-10'!$X75</f>
        <v>#VALUE!</v>
      </c>
      <c r="M51" s="128" t="e">
        <f>'LDB-10'!$S75</f>
        <v>#NUM!</v>
      </c>
      <c r="N51" s="115" t="e">
        <f>'LDB-10'!$T75</f>
        <v>#NUM!</v>
      </c>
    </row>
    <row r="52" spans="2:14" ht="12.75" customHeight="1" x14ac:dyDescent="0.2">
      <c r="B52" s="133" t="s">
        <v>79</v>
      </c>
      <c r="C52" s="117" t="e">
        <f>'RA-10'!$V76</f>
        <v>#VALUE!</v>
      </c>
      <c r="D52" s="118" t="e">
        <f>'RA-10'!$W76</f>
        <v>#VALUE!</v>
      </c>
      <c r="E52" s="119" t="e">
        <f>'RA-10'!$X76</f>
        <v>#VALUE!</v>
      </c>
      <c r="F52" s="130" t="e">
        <f>'RA-10'!$S76</f>
        <v>#NUM!</v>
      </c>
      <c r="G52" s="121" t="e">
        <f>'RA-10'!$T76</f>
        <v>#NUM!</v>
      </c>
      <c r="I52" s="133" t="s">
        <v>79</v>
      </c>
      <c r="J52" s="117" t="e">
        <f>'LDB-10'!$V76</f>
        <v>#VALUE!</v>
      </c>
      <c r="K52" s="118" t="e">
        <f>'LDB-10'!$W76</f>
        <v>#VALUE!</v>
      </c>
      <c r="L52" s="119" t="e">
        <f>'LDB-10'!$X76</f>
        <v>#VALUE!</v>
      </c>
      <c r="M52" s="130" t="e">
        <f>'LDB-10'!$S76</f>
        <v>#NUM!</v>
      </c>
      <c r="N52" s="121" t="e">
        <f>'LDB-10'!$T76</f>
        <v>#NUM!</v>
      </c>
    </row>
    <row r="53" spans="2:14" ht="12.75" customHeight="1" thickBot="1" x14ac:dyDescent="0.25">
      <c r="B53" s="133" t="s">
        <v>51</v>
      </c>
      <c r="C53" s="117">
        <f>'RA-10'!$V77</f>
        <v>-5.5566622038654978E-3</v>
      </c>
      <c r="D53" s="118">
        <f>'RA-10'!$W77</f>
        <v>-8.6309348776815176E-3</v>
      </c>
      <c r="E53" s="119">
        <f>'RA-10'!$X77</f>
        <v>-3.4217564463833727E-3</v>
      </c>
      <c r="F53" s="130">
        <f>'RA-10'!$S77</f>
        <v>1.0062826177154593</v>
      </c>
      <c r="G53" s="121">
        <f>'RA-10'!$T77</f>
        <v>0.9974803642983312</v>
      </c>
      <c r="I53" s="133" t="s">
        <v>80</v>
      </c>
      <c r="J53" s="117" t="e">
        <f>'LDB-10'!$V77</f>
        <v>#VALUE!</v>
      </c>
      <c r="K53" s="118" t="e">
        <f>'LDB-10'!$W77</f>
        <v>#VALUE!</v>
      </c>
      <c r="L53" s="119" t="e">
        <f>'LDB-10'!$X77</f>
        <v>#VALUE!</v>
      </c>
      <c r="M53" s="130" t="e">
        <f>'LDB-10'!$S77</f>
        <v>#NUM!</v>
      </c>
      <c r="N53" s="121" t="e">
        <f>'LDB-10'!$T77</f>
        <v>#NUM!</v>
      </c>
    </row>
    <row r="54" spans="2:14" ht="12.75" customHeight="1" thickBot="1" x14ac:dyDescent="0.25">
      <c r="B54" s="139" t="s">
        <v>37</v>
      </c>
      <c r="C54" s="138" t="e">
        <f>'RA-10'!$V80</f>
        <v>#VALUE!</v>
      </c>
      <c r="D54" s="137" t="e">
        <f>'RA-10'!$W80</f>
        <v>#VALUE!</v>
      </c>
      <c r="E54" s="136" t="e">
        <f>'RA-10'!$X80</f>
        <v>#VALUE!</v>
      </c>
      <c r="F54" s="135" t="e">
        <f>'RA-10'!$S80</f>
        <v>#NUM!</v>
      </c>
      <c r="G54" s="134" t="e">
        <f>'RA-10'!$T80</f>
        <v>#NUM!</v>
      </c>
      <c r="I54" s="139" t="s">
        <v>37</v>
      </c>
      <c r="J54" s="138" t="e">
        <f>'LDB-10'!$V80</f>
        <v>#VALUE!</v>
      </c>
      <c r="K54" s="137" t="e">
        <f>'LDB-10'!$W80</f>
        <v>#VALUE!</v>
      </c>
      <c r="L54" s="136" t="e">
        <f>'LDB-10'!$X80</f>
        <v>#VALUE!</v>
      </c>
      <c r="M54" s="135" t="e">
        <f>'LDB-10'!$S80</f>
        <v>#NUM!</v>
      </c>
      <c r="N54" s="134" t="e">
        <f>'LDB-10'!$T80</f>
        <v>#NUM!</v>
      </c>
    </row>
    <row r="55" spans="2:14" ht="12.75" customHeight="1" thickBot="1" x14ac:dyDescent="0.25">
      <c r="B55" s="140" t="s">
        <v>89</v>
      </c>
      <c r="C55" s="123" t="e">
        <f>'RA-10'!$V78</f>
        <v>#VALUE!</v>
      </c>
      <c r="D55" s="124" t="e">
        <f>'RA-10'!$W78</f>
        <v>#VALUE!</v>
      </c>
      <c r="E55" s="125" t="e">
        <f>'RA-10'!$X78</f>
        <v>#VALUE!</v>
      </c>
      <c r="F55" s="126" t="e">
        <f>'RA-10'!$S78</f>
        <v>#DIV/0!</v>
      </c>
      <c r="G55" s="127" t="e">
        <f>'RA-10'!$T78</f>
        <v>#DIV/0!</v>
      </c>
      <c r="I55" s="140" t="s">
        <v>89</v>
      </c>
      <c r="J55" s="123" t="e">
        <f>'LDB-10'!$V78</f>
        <v>#VALUE!</v>
      </c>
      <c r="K55" s="124" t="e">
        <f>'LDB-10'!$W78</f>
        <v>#VALUE!</v>
      </c>
      <c r="L55" s="125" t="e">
        <f>'LDB-10'!$X78</f>
        <v>#VALUE!</v>
      </c>
      <c r="M55" s="126" t="e">
        <f>'LDB-10'!$S78</f>
        <v>#DIV/0!</v>
      </c>
      <c r="N55" s="127" t="e">
        <f>'LDB-10'!$T78</f>
        <v>#DIV/0!</v>
      </c>
    </row>
    <row r="56" spans="2:14" ht="12.75" customHeight="1" thickBot="1" x14ac:dyDescent="0.25">
      <c r="B56" s="149" t="s">
        <v>373</v>
      </c>
      <c r="C56" s="123" t="e">
        <f>'RA-10'!$V79</f>
        <v>#VALUE!</v>
      </c>
      <c r="D56" s="124" t="e">
        <f>'RA-10'!$W79</f>
        <v>#VALUE!</v>
      </c>
      <c r="E56" s="125" t="e">
        <f>'RA-10'!$X79</f>
        <v>#VALUE!</v>
      </c>
      <c r="F56" s="126" t="e">
        <f>'RA-10'!$S79</f>
        <v>#DIV/0!</v>
      </c>
      <c r="G56" s="127" t="e">
        <f>'RA-10'!$T79</f>
        <v>#DIV/0!</v>
      </c>
      <c r="I56" s="149" t="s">
        <v>373</v>
      </c>
      <c r="J56" s="123" t="e">
        <f>'LDB-10'!$V79</f>
        <v>#VALUE!</v>
      </c>
      <c r="K56" s="124" t="e">
        <f>'LDB-10'!$W79</f>
        <v>#VALUE!</v>
      </c>
      <c r="L56" s="125" t="e">
        <f>'LDB-10'!$X79</f>
        <v>#VALUE!</v>
      </c>
      <c r="M56" s="126" t="e">
        <f>'LDB-10'!$S79</f>
        <v>#DIV/0!</v>
      </c>
      <c r="N56" s="127" t="e">
        <f>'LDB-10'!$T79</f>
        <v>#DIV/0!</v>
      </c>
    </row>
    <row r="57" spans="2:14" ht="12.75" customHeight="1" x14ac:dyDescent="0.2">
      <c r="C57" s="103"/>
      <c r="D57" s="103"/>
      <c r="E57" s="103"/>
      <c r="F57" s="103"/>
      <c r="G57" s="103"/>
    </row>
    <row r="58" spans="2:14" ht="12.75" customHeight="1" x14ac:dyDescent="0.2">
      <c r="I58" s="104"/>
      <c r="J58" s="104"/>
    </row>
    <row r="59" spans="2:14" ht="12.75" customHeight="1" x14ac:dyDescent="0.2"/>
    <row r="60" spans="2:14" ht="12.75" customHeight="1" x14ac:dyDescent="0.2"/>
    <row r="61" spans="2:14" ht="12.75" customHeight="1" x14ac:dyDescent="0.2"/>
    <row r="62" spans="2:14" ht="12.75" customHeight="1" x14ac:dyDescent="0.2"/>
    <row r="63" spans="2:14" ht="12.75" customHeight="1" x14ac:dyDescent="0.2"/>
    <row r="64" spans="2:14" ht="12.75" customHeight="1" x14ac:dyDescent="0.2"/>
    <row r="65" ht="12.75" customHeight="1" x14ac:dyDescent="0.2"/>
    <row r="66" ht="12.75" customHeight="1" x14ac:dyDescent="0.2"/>
    <row r="67" ht="12.75" customHeight="1" x14ac:dyDescent="0.2"/>
    <row r="68" ht="12.75" customHeight="1" x14ac:dyDescent="0.2"/>
    <row r="69" ht="12.75" customHeight="1" x14ac:dyDescent="0.2"/>
    <row r="70" ht="12.75" customHeight="1" x14ac:dyDescent="0.2"/>
    <row r="71" ht="12.75" customHeight="1" x14ac:dyDescent="0.2"/>
    <row r="72" ht="12.75" customHeight="1" x14ac:dyDescent="0.2"/>
    <row r="73" ht="12.75" customHeight="1" x14ac:dyDescent="0.2"/>
    <row r="74" ht="12.75" customHeight="1" x14ac:dyDescent="0.2"/>
    <row r="75" ht="12.75" customHeight="1" x14ac:dyDescent="0.2"/>
    <row r="76" ht="12.75" customHeight="1" x14ac:dyDescent="0.2"/>
    <row r="77" ht="12.75" customHeight="1" x14ac:dyDescent="0.2"/>
    <row r="78" ht="12.75" customHeight="1" x14ac:dyDescent="0.2"/>
    <row r="79" ht="12.75" customHeight="1" x14ac:dyDescent="0.2"/>
    <row r="80" ht="12.75" customHeight="1" x14ac:dyDescent="0.2"/>
    <row r="81" spans="3:10" ht="12.75" customHeight="1" x14ac:dyDescent="0.2"/>
    <row r="82" spans="3:10" ht="12.75" customHeight="1" x14ac:dyDescent="0.2"/>
    <row r="83" spans="3:10" ht="12.75" customHeight="1" x14ac:dyDescent="0.2"/>
    <row r="84" spans="3:10" ht="12.75" customHeight="1" x14ac:dyDescent="0.2"/>
    <row r="85" spans="3:10" ht="12.75" customHeight="1" x14ac:dyDescent="0.2"/>
    <row r="86" spans="3:10" ht="12.75" customHeight="1" x14ac:dyDescent="0.2"/>
    <row r="87" spans="3:10" ht="12.75" customHeight="1" x14ac:dyDescent="0.2">
      <c r="H87" s="129"/>
    </row>
    <row r="88" spans="3:10" ht="12.75" customHeight="1" x14ac:dyDescent="0.2">
      <c r="H88" s="129"/>
    </row>
    <row r="89" spans="3:10" ht="12.75" customHeight="1" x14ac:dyDescent="0.2">
      <c r="H89" s="129"/>
    </row>
    <row r="90" spans="3:10" ht="12.75" customHeight="1" x14ac:dyDescent="0.2">
      <c r="H90" s="129"/>
    </row>
    <row r="91" spans="3:10" ht="12.75" customHeight="1" x14ac:dyDescent="0.2">
      <c r="H91" s="129"/>
    </row>
    <row r="92" spans="3:10" ht="12.75" customHeight="1" x14ac:dyDescent="0.2">
      <c r="H92" s="129"/>
    </row>
    <row r="93" spans="3:10" ht="12.75" customHeight="1" x14ac:dyDescent="0.2">
      <c r="H93" s="129"/>
    </row>
    <row r="94" spans="3:10" ht="12.75" customHeight="1" x14ac:dyDescent="0.2">
      <c r="H94" s="129"/>
    </row>
    <row r="95" spans="3:10" ht="12.75" customHeight="1" x14ac:dyDescent="0.2">
      <c r="C95" s="103"/>
      <c r="D95" s="103"/>
      <c r="E95" s="103"/>
      <c r="F95" s="103"/>
      <c r="G95" s="103"/>
    </row>
    <row r="96" spans="3:10" ht="12.75" customHeight="1" x14ac:dyDescent="0.2">
      <c r="I96" s="104"/>
      <c r="J96" s="104"/>
    </row>
    <row r="97" ht="12.75" customHeight="1" x14ac:dyDescent="0.2"/>
    <row r="98" ht="12.75" customHeight="1" x14ac:dyDescent="0.2"/>
    <row r="99" ht="12.75" customHeight="1" x14ac:dyDescent="0.2"/>
    <row r="100" ht="12.75" customHeight="1" x14ac:dyDescent="0.2"/>
    <row r="101" ht="12.75" customHeight="1" x14ac:dyDescent="0.2"/>
    <row r="102" ht="12.75" customHeight="1" x14ac:dyDescent="0.2"/>
    <row r="103" ht="12.75" customHeight="1" x14ac:dyDescent="0.2"/>
    <row r="104" ht="12.75" customHeight="1" x14ac:dyDescent="0.2"/>
    <row r="105" ht="12.75" customHeight="1" x14ac:dyDescent="0.2"/>
    <row r="106" ht="12.75" customHeight="1" x14ac:dyDescent="0.2"/>
    <row r="107" ht="12.75" customHeight="1" x14ac:dyDescent="0.2"/>
    <row r="108" ht="12.75" customHeight="1" x14ac:dyDescent="0.2"/>
    <row r="109" ht="12.75" customHeight="1" x14ac:dyDescent="0.2"/>
    <row r="110" ht="12.75" customHeight="1" x14ac:dyDescent="0.2"/>
    <row r="111" ht="12.75" customHeight="1" x14ac:dyDescent="0.2"/>
    <row r="112" ht="12.75" customHeight="1" x14ac:dyDescent="0.2"/>
    <row r="113" ht="12.75" customHeight="1" x14ac:dyDescent="0.2"/>
    <row r="114" ht="12.75" customHeight="1" x14ac:dyDescent="0.2"/>
    <row r="115" ht="12.75" customHeight="1" x14ac:dyDescent="0.2"/>
    <row r="116" ht="12.75" customHeight="1" x14ac:dyDescent="0.2"/>
    <row r="117" ht="12.75" customHeight="1" x14ac:dyDescent="0.2"/>
    <row r="118" ht="12.75" customHeight="1" x14ac:dyDescent="0.2"/>
    <row r="119" ht="12.75" customHeight="1" x14ac:dyDescent="0.2"/>
    <row r="120" ht="12.75" customHeight="1" x14ac:dyDescent="0.2"/>
    <row r="121" ht="12.75" customHeight="1" x14ac:dyDescent="0.2"/>
    <row r="122" ht="12.75" customHeight="1" x14ac:dyDescent="0.2"/>
    <row r="123" ht="12.75" customHeight="1" x14ac:dyDescent="0.2"/>
    <row r="124" ht="12.75" customHeight="1" x14ac:dyDescent="0.2"/>
    <row r="125" ht="12.75" customHeight="1" x14ac:dyDescent="0.2"/>
    <row r="126" ht="12.75" customHeight="1" x14ac:dyDescent="0.2"/>
    <row r="127" ht="12.75" customHeight="1" x14ac:dyDescent="0.2"/>
    <row r="128" ht="12.75" customHeight="1" x14ac:dyDescent="0.2"/>
    <row r="129" ht="12.75" customHeight="1" x14ac:dyDescent="0.2"/>
    <row r="130" ht="12.75" customHeight="1" x14ac:dyDescent="0.2"/>
    <row r="131" ht="12.75" customHeight="1" x14ac:dyDescent="0.2"/>
    <row r="132" ht="12.75" customHeight="1" x14ac:dyDescent="0.2"/>
  </sheetData>
  <mergeCells count="8">
    <mergeCell ref="C31:G31"/>
    <mergeCell ref="J31:N31"/>
    <mergeCell ref="C2:G2"/>
    <mergeCell ref="J2:N2"/>
    <mergeCell ref="C3:G3"/>
    <mergeCell ref="J3:N3"/>
    <mergeCell ref="C30:G30"/>
    <mergeCell ref="J30:N30"/>
  </mergeCells>
  <phoneticPr fontId="9" type="noConversion"/>
  <conditionalFormatting sqref="C27:E27">
    <cfRule type="cellIs" dxfId="863" priority="111" stopIfTrue="1" operator="greaterThan">
      <formula>0.03</formula>
    </cfRule>
    <cfRule type="cellIs" dxfId="862" priority="112" stopIfTrue="1" operator="lessThan">
      <formula>-0.03</formula>
    </cfRule>
  </conditionalFormatting>
  <conditionalFormatting sqref="C26:E26">
    <cfRule type="cellIs" dxfId="861" priority="109" stopIfTrue="1" operator="greaterThan">
      <formula>0.03</formula>
    </cfRule>
    <cfRule type="cellIs" dxfId="860" priority="110" stopIfTrue="1" operator="lessThan">
      <formula>-0.03</formula>
    </cfRule>
  </conditionalFormatting>
  <conditionalFormatting sqref="C23:E23 C25:E25">
    <cfRule type="cellIs" dxfId="859" priority="107" stopIfTrue="1" operator="greaterThan">
      <formula>0.03</formula>
    </cfRule>
    <cfRule type="cellIs" dxfId="858" priority="108" stopIfTrue="1" operator="lessThan">
      <formula>-0.03</formula>
    </cfRule>
  </conditionalFormatting>
  <conditionalFormatting sqref="C24:E24">
    <cfRule type="cellIs" dxfId="857" priority="105" stopIfTrue="1" operator="greaterThan">
      <formula>0.03</formula>
    </cfRule>
    <cfRule type="cellIs" dxfId="856" priority="106" stopIfTrue="1" operator="lessThan">
      <formula>-0.03</formula>
    </cfRule>
  </conditionalFormatting>
  <conditionalFormatting sqref="C5:E18">
    <cfRule type="cellIs" dxfId="855" priority="101" stopIfTrue="1" operator="greaterThan">
      <formula>0.03</formula>
    </cfRule>
    <cfRule type="cellIs" dxfId="854" priority="102" stopIfTrue="1" operator="lessThan">
      <formula>-0.03</formula>
    </cfRule>
  </conditionalFormatting>
  <conditionalFormatting sqref="J27:L27">
    <cfRule type="cellIs" dxfId="853" priority="63" stopIfTrue="1" operator="greaterThan">
      <formula>0.03</formula>
    </cfRule>
    <cfRule type="cellIs" dxfId="852" priority="64" stopIfTrue="1" operator="lessThan">
      <formula>-0.03</formula>
    </cfRule>
  </conditionalFormatting>
  <conditionalFormatting sqref="J26:L26">
    <cfRule type="cellIs" dxfId="851" priority="61" stopIfTrue="1" operator="greaterThan">
      <formula>0.03</formula>
    </cfRule>
    <cfRule type="cellIs" dxfId="850" priority="62" stopIfTrue="1" operator="lessThan">
      <formula>-0.03</formula>
    </cfRule>
  </conditionalFormatting>
  <conditionalFormatting sqref="J23:L23 J25:L25">
    <cfRule type="cellIs" dxfId="849" priority="59" stopIfTrue="1" operator="greaterThan">
      <formula>0.03</formula>
    </cfRule>
    <cfRule type="cellIs" dxfId="848" priority="60" stopIfTrue="1" operator="lessThan">
      <formula>-0.03</formula>
    </cfRule>
  </conditionalFormatting>
  <conditionalFormatting sqref="J33:L46">
    <cfRule type="cellIs" dxfId="847" priority="35" stopIfTrue="1" operator="greaterThan">
      <formula>0.03</formula>
    </cfRule>
    <cfRule type="cellIs" dxfId="846" priority="36" stopIfTrue="1" operator="lessThan">
      <formula>-0.03</formula>
    </cfRule>
  </conditionalFormatting>
  <conditionalFormatting sqref="J24:L24">
    <cfRule type="cellIs" dxfId="845" priority="57" stopIfTrue="1" operator="greaterThan">
      <formula>0.03</formula>
    </cfRule>
    <cfRule type="cellIs" dxfId="844" priority="58" stopIfTrue="1" operator="lessThan">
      <formula>-0.03</formula>
    </cfRule>
  </conditionalFormatting>
  <conditionalFormatting sqref="J5:L18">
    <cfRule type="cellIs" dxfId="843" priority="55" stopIfTrue="1" operator="greaterThan">
      <formula>0.03</formula>
    </cfRule>
    <cfRule type="cellIs" dxfId="842" priority="56" stopIfTrue="1" operator="lessThan">
      <formula>-0.03</formula>
    </cfRule>
  </conditionalFormatting>
  <conditionalFormatting sqref="C55:E55">
    <cfRule type="cellIs" dxfId="841" priority="53" stopIfTrue="1" operator="greaterThan">
      <formula>0.03</formula>
    </cfRule>
    <cfRule type="cellIs" dxfId="840" priority="54" stopIfTrue="1" operator="lessThan">
      <formula>-0.03</formula>
    </cfRule>
  </conditionalFormatting>
  <conditionalFormatting sqref="C51:E51 C53:E53">
    <cfRule type="cellIs" dxfId="839" priority="49" stopIfTrue="1" operator="greaterThan">
      <formula>0.03</formula>
    </cfRule>
    <cfRule type="cellIs" dxfId="838" priority="50" stopIfTrue="1" operator="lessThan">
      <formula>-0.03</formula>
    </cfRule>
  </conditionalFormatting>
  <conditionalFormatting sqref="C52:E52">
    <cfRule type="cellIs" dxfId="837" priority="47" stopIfTrue="1" operator="greaterThan">
      <formula>0.03</formula>
    </cfRule>
    <cfRule type="cellIs" dxfId="836" priority="48" stopIfTrue="1" operator="lessThan">
      <formula>-0.03</formula>
    </cfRule>
  </conditionalFormatting>
  <conditionalFormatting sqref="C33:E46">
    <cfRule type="cellIs" dxfId="835" priority="45" stopIfTrue="1" operator="greaterThan">
      <formula>0.03</formula>
    </cfRule>
    <cfRule type="cellIs" dxfId="834" priority="46" stopIfTrue="1" operator="lessThan">
      <formula>-0.03</formula>
    </cfRule>
  </conditionalFormatting>
  <conditionalFormatting sqref="C54:E54">
    <cfRule type="cellIs" dxfId="833" priority="33" stopIfTrue="1" operator="greaterThan">
      <formula>0.03</formula>
    </cfRule>
    <cfRule type="cellIs" dxfId="832" priority="34" stopIfTrue="1" operator="lessThan">
      <formula>-0.03</formula>
    </cfRule>
  </conditionalFormatting>
  <conditionalFormatting sqref="J55:L55">
    <cfRule type="cellIs" dxfId="831" priority="29" stopIfTrue="1" operator="greaterThan">
      <formula>0.03</formula>
    </cfRule>
    <cfRule type="cellIs" dxfId="830" priority="30" stopIfTrue="1" operator="lessThan">
      <formula>-0.03</formula>
    </cfRule>
  </conditionalFormatting>
  <conditionalFormatting sqref="J51:L51 J53:L53">
    <cfRule type="cellIs" dxfId="829" priority="27" stopIfTrue="1" operator="greaterThan">
      <formula>0.03</formula>
    </cfRule>
    <cfRule type="cellIs" dxfId="828" priority="28" stopIfTrue="1" operator="lessThan">
      <formula>-0.03</formula>
    </cfRule>
  </conditionalFormatting>
  <conditionalFormatting sqref="J52:L52">
    <cfRule type="cellIs" dxfId="827" priority="25" stopIfTrue="1" operator="greaterThan">
      <formula>0.03</formula>
    </cfRule>
    <cfRule type="cellIs" dxfId="826" priority="26" stopIfTrue="1" operator="lessThan">
      <formula>-0.03</formula>
    </cfRule>
  </conditionalFormatting>
  <conditionalFormatting sqref="J54:L54">
    <cfRule type="cellIs" dxfId="825" priority="23" stopIfTrue="1" operator="greaterThan">
      <formula>0.03</formula>
    </cfRule>
    <cfRule type="cellIs" dxfId="824" priority="24" stopIfTrue="1" operator="lessThan">
      <formula>-0.03</formula>
    </cfRule>
  </conditionalFormatting>
  <conditionalFormatting sqref="C19:E22">
    <cfRule type="cellIs" dxfId="823" priority="21" stopIfTrue="1" operator="greaterThan">
      <formula>0.03</formula>
    </cfRule>
    <cfRule type="cellIs" dxfId="822" priority="22" stopIfTrue="1" operator="lessThan">
      <formula>-0.03</formula>
    </cfRule>
  </conditionalFormatting>
  <conditionalFormatting sqref="C28:E28">
    <cfRule type="cellIs" dxfId="821" priority="17" stopIfTrue="1" operator="greaterThan">
      <formula>0.03</formula>
    </cfRule>
    <cfRule type="cellIs" dxfId="820" priority="18" stopIfTrue="1" operator="lessThan">
      <formula>-0.03</formula>
    </cfRule>
  </conditionalFormatting>
  <conditionalFormatting sqref="J28:L28">
    <cfRule type="cellIs" dxfId="819" priority="15" stopIfTrue="1" operator="greaterThan">
      <formula>0.03</formula>
    </cfRule>
    <cfRule type="cellIs" dxfId="818" priority="16" stopIfTrue="1" operator="lessThan">
      <formula>-0.03</formula>
    </cfRule>
  </conditionalFormatting>
  <conditionalFormatting sqref="C56:E56">
    <cfRule type="cellIs" dxfId="817" priority="9" stopIfTrue="1" operator="greaterThan">
      <formula>0.03</formula>
    </cfRule>
    <cfRule type="cellIs" dxfId="816" priority="10" stopIfTrue="1" operator="lessThan">
      <formula>-0.03</formula>
    </cfRule>
  </conditionalFormatting>
  <conditionalFormatting sqref="J47:L50">
    <cfRule type="cellIs" dxfId="815" priority="1" stopIfTrue="1" operator="greaterThan">
      <formula>0.03</formula>
    </cfRule>
    <cfRule type="cellIs" dxfId="814" priority="2" stopIfTrue="1" operator="lessThan">
      <formula>-0.03</formula>
    </cfRule>
  </conditionalFormatting>
  <conditionalFormatting sqref="J56:L56">
    <cfRule type="cellIs" dxfId="813" priority="7" stopIfTrue="1" operator="greaterThan">
      <formula>0.03</formula>
    </cfRule>
    <cfRule type="cellIs" dxfId="812" priority="8" stopIfTrue="1" operator="lessThan">
      <formula>-0.03</formula>
    </cfRule>
  </conditionalFormatting>
  <conditionalFormatting sqref="J19:L22">
    <cfRule type="cellIs" dxfId="811" priority="5" stopIfTrue="1" operator="greaterThan">
      <formula>0.03</formula>
    </cfRule>
    <cfRule type="cellIs" dxfId="810" priority="6" stopIfTrue="1" operator="lessThan">
      <formula>-0.03</formula>
    </cfRule>
  </conditionalFormatting>
  <conditionalFormatting sqref="C47:E50">
    <cfRule type="cellIs" dxfId="809" priority="3" stopIfTrue="1" operator="greaterThan">
      <formula>0.03</formula>
    </cfRule>
    <cfRule type="cellIs" dxfId="808" priority="4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B1:J40"/>
  <sheetViews>
    <sheetView zoomScaleNormal="100" workbookViewId="0">
      <selection activeCell="M7" sqref="M7"/>
    </sheetView>
  </sheetViews>
  <sheetFormatPr defaultColWidth="10.875" defaultRowHeight="12" x14ac:dyDescent="0.2"/>
  <cols>
    <col min="1" max="1" width="4.125" style="1" customWidth="1"/>
    <col min="2" max="2" width="13.625" style="70" customWidth="1"/>
    <col min="3" max="7" width="8.875" style="70" customWidth="1"/>
    <col min="8" max="8" width="10.875" style="1"/>
    <col min="9" max="9" width="20.625" style="1" customWidth="1"/>
    <col min="10" max="10" width="13" style="1" customWidth="1"/>
    <col min="11" max="16384" width="10.875" style="1"/>
  </cols>
  <sheetData>
    <row r="1" spans="2:10" ht="12.75" thickBot="1" x14ac:dyDescent="0.25"/>
    <row r="2" spans="2:10" ht="12.75" customHeight="1" thickBot="1" x14ac:dyDescent="0.25">
      <c r="C2" s="142"/>
      <c r="D2" s="143"/>
      <c r="E2" s="142" t="s">
        <v>60</v>
      </c>
      <c r="F2" s="143"/>
      <c r="G2" s="144"/>
      <c r="I2" s="28"/>
      <c r="J2" s="28"/>
    </row>
    <row r="3" spans="2:10" ht="12.75" customHeight="1" x14ac:dyDescent="0.2">
      <c r="C3" s="145" t="str">
        <f>CONCATENATE("Over ", $J$3)</f>
        <v>Over HPM8.0</v>
      </c>
      <c r="D3" s="146"/>
      <c r="E3" s="146"/>
      <c r="F3" s="146"/>
      <c r="G3" s="147"/>
      <c r="I3" s="28" t="s">
        <v>20</v>
      </c>
      <c r="J3" s="28" t="s">
        <v>406</v>
      </c>
    </row>
    <row r="4" spans="2:10" ht="12.75" customHeight="1" thickBot="1" x14ac:dyDescent="0.25">
      <c r="C4" s="55" t="s">
        <v>14</v>
      </c>
      <c r="D4" s="56" t="s">
        <v>15</v>
      </c>
      <c r="E4" s="57" t="s">
        <v>16</v>
      </c>
      <c r="F4" s="58" t="s">
        <v>32</v>
      </c>
      <c r="G4" s="59" t="s">
        <v>33</v>
      </c>
      <c r="I4" s="28" t="s">
        <v>21</v>
      </c>
      <c r="J4" s="28" t="s">
        <v>407</v>
      </c>
    </row>
    <row r="5" spans="2:10" ht="12.75" customHeight="1" x14ac:dyDescent="0.2">
      <c r="B5" s="93" t="s">
        <v>92</v>
      </c>
      <c r="C5" s="60" t="e">
        <f>'AI-10'!V75</f>
        <v>#VALUE!</v>
      </c>
      <c r="D5" s="61" t="e">
        <f>'AI-10'!W75</f>
        <v>#VALUE!</v>
      </c>
      <c r="E5" s="62" t="e">
        <f>'AI-10'!X75</f>
        <v>#VALUE!</v>
      </c>
      <c r="F5" s="63" t="e">
        <f>'AI-10'!S75</f>
        <v>#NUM!</v>
      </c>
      <c r="G5" s="64" t="e">
        <f>'AI-10'!T75</f>
        <v>#NUM!</v>
      </c>
      <c r="H5" s="25"/>
      <c r="J5" s="28"/>
    </row>
    <row r="6" spans="2:10" ht="12.75" customHeight="1" x14ac:dyDescent="0.2">
      <c r="B6" s="94" t="s">
        <v>91</v>
      </c>
      <c r="C6" s="65" t="e">
        <f>'AI-10'!V76</f>
        <v>#VALUE!</v>
      </c>
      <c r="D6" s="66" t="e">
        <f>'AI-10'!W76</f>
        <v>#VALUE!</v>
      </c>
      <c r="E6" s="67" t="e">
        <f>'AI-10'!X76</f>
        <v>#VALUE!</v>
      </c>
      <c r="F6" s="68" t="e">
        <f>'AI-10'!S76</f>
        <v>#NUM!</v>
      </c>
      <c r="G6" s="69" t="e">
        <f>'AI-10'!T76</f>
        <v>#NUM!</v>
      </c>
      <c r="H6" s="25"/>
      <c r="J6" s="28"/>
    </row>
    <row r="7" spans="2:10" ht="12.75" customHeight="1" thickBot="1" x14ac:dyDescent="0.25">
      <c r="B7" s="95" t="s">
        <v>93</v>
      </c>
      <c r="C7" s="65" t="e">
        <f>'AI-10'!V77</f>
        <v>#VALUE!</v>
      </c>
      <c r="D7" s="66" t="e">
        <f>'AI-10'!W77</f>
        <v>#VALUE!</v>
      </c>
      <c r="E7" s="67" t="e">
        <f>'AI-10'!X77</f>
        <v>#VALUE!</v>
      </c>
      <c r="F7" s="68" t="e">
        <f>'AI-10'!S77</f>
        <v>#NUM!</v>
      </c>
      <c r="G7" s="69" t="e">
        <f>'AI-10'!T77</f>
        <v>#NUM!</v>
      </c>
      <c r="H7" s="25"/>
    </row>
    <row r="8" spans="2:10" s="20" customFormat="1" ht="12.75" customHeight="1" thickBot="1" x14ac:dyDescent="0.25">
      <c r="B8" s="81" t="s">
        <v>37</v>
      </c>
      <c r="C8" s="60" t="e">
        <f>'AI-10'!V80</f>
        <v>#VALUE!</v>
      </c>
      <c r="D8" s="61" t="e">
        <f>'AI-10'!W80</f>
        <v>#VALUE!</v>
      </c>
      <c r="E8" s="61" t="e">
        <f>'AI-10'!X80</f>
        <v>#VALUE!</v>
      </c>
      <c r="F8" s="100" t="e">
        <f>'AI-10'!S80</f>
        <v>#NUM!</v>
      </c>
      <c r="G8" s="101" t="e">
        <f>'AI-10'!T80</f>
        <v>#NUM!</v>
      </c>
      <c r="H8" s="25"/>
      <c r="I8" s="36" t="s">
        <v>19</v>
      </c>
    </row>
    <row r="9" spans="2:10" ht="12.75" customHeight="1" thickBot="1" x14ac:dyDescent="0.25">
      <c r="B9" s="99" t="s">
        <v>90</v>
      </c>
      <c r="C9" s="96" t="e">
        <f>'AI-10'!V78</f>
        <v>#VALUE!</v>
      </c>
      <c r="D9" s="97" t="e">
        <f>'AI-10'!W78</f>
        <v>#VALUE!</v>
      </c>
      <c r="E9" s="98" t="e">
        <f>'AI-10'!X78</f>
        <v>#VALUE!</v>
      </c>
      <c r="F9" s="100" t="e">
        <f>'AI-10'!S78</f>
        <v>#DIV/0!</v>
      </c>
      <c r="G9" s="101" t="e">
        <f>'AI-10'!T78</f>
        <v>#DIV/0!</v>
      </c>
      <c r="H9" s="25"/>
    </row>
    <row r="10" spans="2:10" ht="12.75" customHeight="1" thickBot="1" x14ac:dyDescent="0.25">
      <c r="B10" s="105" t="s">
        <v>366</v>
      </c>
      <c r="C10" s="96" t="e">
        <f>'AI-10'!V79</f>
        <v>#VALUE!</v>
      </c>
      <c r="D10" s="97" t="e">
        <f>'AI-10'!W79</f>
        <v>#VALUE!</v>
      </c>
      <c r="E10" s="98" t="e">
        <f>'AI-10'!X79</f>
        <v>#VALUE!</v>
      </c>
      <c r="F10" s="100" t="e">
        <f>'AI-10'!S79</f>
        <v>#DIV/0!</v>
      </c>
      <c r="G10" s="101" t="e">
        <f>'AI-10'!T79</f>
        <v>#DIV/0!</v>
      </c>
      <c r="H10" s="25"/>
    </row>
    <row r="11" spans="2:10" ht="12.75" customHeight="1" thickBot="1" x14ac:dyDescent="0.25">
      <c r="I11" s="82"/>
    </row>
    <row r="12" spans="2:10" ht="12.75" customHeight="1" thickBot="1" x14ac:dyDescent="0.25">
      <c r="C12" s="142"/>
      <c r="D12" s="143"/>
      <c r="E12" s="142" t="s">
        <v>61</v>
      </c>
      <c r="F12" s="143"/>
      <c r="G12" s="144"/>
    </row>
    <row r="13" spans="2:10" ht="12.75" customHeight="1" x14ac:dyDescent="0.2">
      <c r="C13" s="145" t="str">
        <f>CONCATENATE("Over ", $J$3)</f>
        <v>Over HPM8.0</v>
      </c>
      <c r="D13" s="146"/>
      <c r="E13" s="146"/>
      <c r="F13" s="146"/>
      <c r="G13" s="147"/>
      <c r="I13" s="28"/>
    </row>
    <row r="14" spans="2:10" ht="12.75" customHeight="1" thickBot="1" x14ac:dyDescent="0.25">
      <c r="C14" s="55" t="s">
        <v>14</v>
      </c>
      <c r="D14" s="56" t="s">
        <v>15</v>
      </c>
      <c r="E14" s="57" t="s">
        <v>16</v>
      </c>
      <c r="F14" s="58" t="s">
        <v>32</v>
      </c>
      <c r="G14" s="59" t="s">
        <v>33</v>
      </c>
      <c r="I14" s="28"/>
    </row>
    <row r="15" spans="2:10" ht="12.75" customHeight="1" x14ac:dyDescent="0.2">
      <c r="B15" s="93" t="s">
        <v>92</v>
      </c>
      <c r="C15" s="60" t="e">
        <f>'RA-10'!V75</f>
        <v>#VALUE!</v>
      </c>
      <c r="D15" s="61" t="e">
        <f>'RA-10'!W75</f>
        <v>#VALUE!</v>
      </c>
      <c r="E15" s="62" t="e">
        <f>'RA-10'!X75</f>
        <v>#VALUE!</v>
      </c>
      <c r="F15" s="63" t="e">
        <f>'RA-10'!S75</f>
        <v>#NUM!</v>
      </c>
      <c r="G15" s="64" t="e">
        <f>'RA-10'!T75</f>
        <v>#NUM!</v>
      </c>
      <c r="H15" s="25"/>
      <c r="I15" s="28"/>
    </row>
    <row r="16" spans="2:10" ht="12.75" customHeight="1" x14ac:dyDescent="0.2">
      <c r="B16" s="94" t="s">
        <v>91</v>
      </c>
      <c r="C16" s="65" t="e">
        <f>'RA-10'!V76</f>
        <v>#VALUE!</v>
      </c>
      <c r="D16" s="66" t="e">
        <f>'RA-10'!W76</f>
        <v>#VALUE!</v>
      </c>
      <c r="E16" s="67" t="e">
        <f>'RA-10'!X76</f>
        <v>#VALUE!</v>
      </c>
      <c r="F16" s="68" t="e">
        <f>'RA-10'!S76</f>
        <v>#NUM!</v>
      </c>
      <c r="G16" s="69" t="e">
        <f>'RA-10'!T76</f>
        <v>#NUM!</v>
      </c>
      <c r="H16" s="25"/>
      <c r="I16" s="28"/>
    </row>
    <row r="17" spans="2:9" ht="12.75" customHeight="1" thickBot="1" x14ac:dyDescent="0.25">
      <c r="B17" s="95" t="s">
        <v>93</v>
      </c>
      <c r="C17" s="65">
        <f>'RA-10'!V77</f>
        <v>-5.5566622038654978E-3</v>
      </c>
      <c r="D17" s="66">
        <f>'RA-10'!W77</f>
        <v>-8.6309348776815176E-3</v>
      </c>
      <c r="E17" s="67">
        <f>'RA-10'!X77</f>
        <v>-3.4217564463833727E-3</v>
      </c>
      <c r="F17" s="68">
        <f>'RA-10'!S77</f>
        <v>1.0062826177154593</v>
      </c>
      <c r="G17" s="69">
        <f>'RA-10'!T77</f>
        <v>0.9974803642983312</v>
      </c>
      <c r="H17" s="25"/>
    </row>
    <row r="18" spans="2:9" ht="12.75" customHeight="1" thickBot="1" x14ac:dyDescent="0.25">
      <c r="B18" s="81" t="s">
        <v>37</v>
      </c>
      <c r="C18" s="60" t="e">
        <f>'RA-10'!V80</f>
        <v>#VALUE!</v>
      </c>
      <c r="D18" s="61" t="e">
        <f>'RA-10'!W80</f>
        <v>#VALUE!</v>
      </c>
      <c r="E18" s="61" t="e">
        <f>'RA-10'!X80</f>
        <v>#VALUE!</v>
      </c>
      <c r="F18" s="100" t="e">
        <f>'RA-10'!S80</f>
        <v>#NUM!</v>
      </c>
      <c r="G18" s="101" t="e">
        <f>'RA-10'!T80</f>
        <v>#NUM!</v>
      </c>
      <c r="H18" s="25"/>
      <c r="I18" s="28"/>
    </row>
    <row r="19" spans="2:9" ht="12.75" customHeight="1" thickBot="1" x14ac:dyDescent="0.25">
      <c r="B19" s="99" t="s">
        <v>90</v>
      </c>
      <c r="C19" s="96" t="e">
        <f>'RA-10'!V78</f>
        <v>#VALUE!</v>
      </c>
      <c r="D19" s="97" t="e">
        <f>'RA-10'!W78</f>
        <v>#VALUE!</v>
      </c>
      <c r="E19" s="98" t="e">
        <f>'RA-10'!X78</f>
        <v>#VALUE!</v>
      </c>
      <c r="F19" s="100" t="e">
        <f>'RA-10'!S78</f>
        <v>#DIV/0!</v>
      </c>
      <c r="G19" s="101" t="e">
        <f>'RA-10'!T78</f>
        <v>#DIV/0!</v>
      </c>
      <c r="H19" s="25"/>
      <c r="I19" s="82"/>
    </row>
    <row r="20" spans="2:9" ht="12.75" customHeight="1" thickBot="1" x14ac:dyDescent="0.25">
      <c r="B20" s="105" t="s">
        <v>366</v>
      </c>
      <c r="C20" s="96" t="e">
        <f>'RA-10'!V79</f>
        <v>#VALUE!</v>
      </c>
      <c r="D20" s="97" t="e">
        <f>'RA-10'!W79</f>
        <v>#VALUE!</v>
      </c>
      <c r="E20" s="98" t="e">
        <f>'RA-10'!X79</f>
        <v>#VALUE!</v>
      </c>
      <c r="F20" s="100" t="e">
        <f>'RA-10'!S79</f>
        <v>#DIV/0!</v>
      </c>
      <c r="G20" s="101" t="e">
        <f>'RA-10'!T79</f>
        <v>#DIV/0!</v>
      </c>
      <c r="H20" s="25"/>
      <c r="I20" s="82"/>
    </row>
    <row r="21" spans="2:9" ht="12.75" customHeight="1" thickBot="1" x14ac:dyDescent="0.25">
      <c r="C21" s="1"/>
      <c r="D21" s="1"/>
      <c r="E21" s="1"/>
      <c r="F21" s="1"/>
      <c r="G21" s="1"/>
    </row>
    <row r="22" spans="2:9" ht="12.75" customHeight="1" thickBot="1" x14ac:dyDescent="0.25">
      <c r="C22" s="142"/>
      <c r="D22" s="143"/>
      <c r="E22" s="142" t="s">
        <v>62</v>
      </c>
      <c r="F22" s="143"/>
      <c r="G22" s="144"/>
      <c r="I22" s="28"/>
    </row>
    <row r="23" spans="2:9" ht="12.75" customHeight="1" x14ac:dyDescent="0.2">
      <c r="C23" s="145" t="str">
        <f>CONCATENATE("Over ", $J$3)</f>
        <v>Over HPM8.0</v>
      </c>
      <c r="D23" s="146"/>
      <c r="E23" s="146"/>
      <c r="F23" s="146"/>
      <c r="G23" s="147"/>
    </row>
    <row r="24" spans="2:9" ht="12.75" customHeight="1" thickBot="1" x14ac:dyDescent="0.25">
      <c r="C24" s="55" t="s">
        <v>14</v>
      </c>
      <c r="D24" s="56" t="s">
        <v>15</v>
      </c>
      <c r="E24" s="57" t="s">
        <v>16</v>
      </c>
      <c r="F24" s="58" t="s">
        <v>32</v>
      </c>
      <c r="G24" s="59" t="s">
        <v>33</v>
      </c>
      <c r="I24" s="28"/>
    </row>
    <row r="25" spans="2:9" ht="12.75" customHeight="1" x14ac:dyDescent="0.2">
      <c r="B25" s="93" t="s">
        <v>92</v>
      </c>
      <c r="C25" s="60" t="e">
        <f>'LDB-10'!V75</f>
        <v>#VALUE!</v>
      </c>
      <c r="D25" s="61" t="e">
        <f>'LDB-10'!W75</f>
        <v>#VALUE!</v>
      </c>
      <c r="E25" s="62" t="e">
        <f>'LDB-10'!X75</f>
        <v>#VALUE!</v>
      </c>
      <c r="F25" s="63" t="e">
        <f>'LDB-10'!S75</f>
        <v>#NUM!</v>
      </c>
      <c r="G25" s="64" t="e">
        <f>'LDB-10'!T75</f>
        <v>#NUM!</v>
      </c>
      <c r="H25" s="25"/>
      <c r="I25" s="28"/>
    </row>
    <row r="26" spans="2:9" ht="12.75" customHeight="1" x14ac:dyDescent="0.2">
      <c r="B26" s="94" t="s">
        <v>91</v>
      </c>
      <c r="C26" s="65" t="e">
        <f>'LDB-10'!V76</f>
        <v>#VALUE!</v>
      </c>
      <c r="D26" s="66" t="e">
        <f>'LDB-10'!W76</f>
        <v>#VALUE!</v>
      </c>
      <c r="E26" s="67" t="e">
        <f>'LDB-10'!X76</f>
        <v>#VALUE!</v>
      </c>
      <c r="F26" s="68" t="e">
        <f>'LDB-10'!S76</f>
        <v>#NUM!</v>
      </c>
      <c r="G26" s="69" t="e">
        <f>'LDB-10'!T76</f>
        <v>#NUM!</v>
      </c>
      <c r="H26" s="25"/>
    </row>
    <row r="27" spans="2:9" ht="12.75" customHeight="1" thickBot="1" x14ac:dyDescent="0.25">
      <c r="B27" s="95" t="s">
        <v>93</v>
      </c>
      <c r="C27" s="65" t="e">
        <f>'LDB-10'!V77</f>
        <v>#VALUE!</v>
      </c>
      <c r="D27" s="66" t="e">
        <f>'LDB-10'!W77</f>
        <v>#VALUE!</v>
      </c>
      <c r="E27" s="67" t="e">
        <f>'LDB-10'!X77</f>
        <v>#VALUE!</v>
      </c>
      <c r="F27" s="68" t="e">
        <f>'LDB-10'!S77</f>
        <v>#NUM!</v>
      </c>
      <c r="G27" s="69" t="e">
        <f>'LDB-10'!T77</f>
        <v>#NUM!</v>
      </c>
      <c r="H27" s="25"/>
      <c r="I27" s="28"/>
    </row>
    <row r="28" spans="2:9" ht="12.75" customHeight="1" thickBot="1" x14ac:dyDescent="0.25">
      <c r="B28" s="81" t="s">
        <v>37</v>
      </c>
      <c r="C28" s="60" t="e">
        <f>'LDB-10'!V80</f>
        <v>#VALUE!</v>
      </c>
      <c r="D28" s="61" t="e">
        <f>'LDB-10'!W80</f>
        <v>#VALUE!</v>
      </c>
      <c r="E28" s="61" t="e">
        <f>'LDB-10'!X80</f>
        <v>#VALUE!</v>
      </c>
      <c r="F28" s="100" t="e">
        <f>'LDB-10'!S80</f>
        <v>#NUM!</v>
      </c>
      <c r="G28" s="101" t="e">
        <f>'LDB-10'!T80</f>
        <v>#NUM!</v>
      </c>
      <c r="H28" s="25"/>
    </row>
    <row r="29" spans="2:9" ht="12.75" customHeight="1" thickBot="1" x14ac:dyDescent="0.25">
      <c r="B29" s="99" t="s">
        <v>90</v>
      </c>
      <c r="C29" s="96" t="e">
        <f>'LDB-10'!V78</f>
        <v>#VALUE!</v>
      </c>
      <c r="D29" s="97" t="e">
        <f>'LDB-10'!W78</f>
        <v>#VALUE!</v>
      </c>
      <c r="E29" s="98" t="e">
        <f>'LDB-10'!X78</f>
        <v>#VALUE!</v>
      </c>
      <c r="F29" s="100" t="e">
        <f>'LDB-10'!S78</f>
        <v>#DIV/0!</v>
      </c>
      <c r="G29" s="101" t="e">
        <f>'LDB-10'!T78</f>
        <v>#DIV/0!</v>
      </c>
      <c r="H29" s="25"/>
    </row>
    <row r="30" spans="2:9" ht="12.75" customHeight="1" thickBot="1" x14ac:dyDescent="0.25">
      <c r="B30" s="105" t="s">
        <v>366</v>
      </c>
      <c r="C30" s="96" t="e">
        <f>'LDB-10'!V79</f>
        <v>#VALUE!</v>
      </c>
      <c r="D30" s="97" t="e">
        <f>'LDB-10'!W79</f>
        <v>#VALUE!</v>
      </c>
      <c r="E30" s="98" t="e">
        <f>'LDB-10'!X79</f>
        <v>#VALUE!</v>
      </c>
      <c r="F30" s="100" t="e">
        <f>'LDB-10'!S79</f>
        <v>#DIV/0!</v>
      </c>
      <c r="G30" s="101" t="e">
        <f>'LDB-10'!T79</f>
        <v>#DIV/0!</v>
      </c>
      <c r="H30" s="25"/>
    </row>
    <row r="31" spans="2:9" ht="12.75" customHeight="1" thickBot="1" x14ac:dyDescent="0.25">
      <c r="C31" s="1"/>
      <c r="D31" s="1"/>
      <c r="E31" s="1"/>
      <c r="F31" s="1"/>
      <c r="G31" s="1"/>
    </row>
    <row r="32" spans="2:9" ht="12.75" customHeight="1" thickBot="1" x14ac:dyDescent="0.25">
      <c r="C32" s="142"/>
      <c r="D32" s="143"/>
      <c r="E32" s="142" t="s">
        <v>63</v>
      </c>
      <c r="F32" s="143"/>
      <c r="G32" s="144"/>
    </row>
    <row r="33" spans="2:9" ht="12.75" customHeight="1" x14ac:dyDescent="0.2">
      <c r="C33" s="145" t="str">
        <f>CONCATENATE("Over ", $J$3)</f>
        <v>Over HPM8.0</v>
      </c>
      <c r="D33" s="146"/>
      <c r="E33" s="146"/>
      <c r="F33" s="146"/>
      <c r="G33" s="147"/>
    </row>
    <row r="34" spans="2:9" ht="12.75" customHeight="1" thickBot="1" x14ac:dyDescent="0.25">
      <c r="C34" s="55" t="s">
        <v>14</v>
      </c>
      <c r="D34" s="56" t="s">
        <v>15</v>
      </c>
      <c r="E34" s="57" t="s">
        <v>16</v>
      </c>
      <c r="F34" s="58" t="s">
        <v>32</v>
      </c>
      <c r="G34" s="59" t="s">
        <v>33</v>
      </c>
      <c r="I34" s="28"/>
    </row>
    <row r="35" spans="2:9" ht="12.75" customHeight="1" x14ac:dyDescent="0.2">
      <c r="B35" s="93" t="s">
        <v>92</v>
      </c>
      <c r="C35" s="60" t="e">
        <f>'LDP-10'!V75</f>
        <v>#VALUE!</v>
      </c>
      <c r="D35" s="61" t="e">
        <f>'LDP-10'!W75</f>
        <v>#VALUE!</v>
      </c>
      <c r="E35" s="62" t="e">
        <f>'LDP-10'!X75</f>
        <v>#VALUE!</v>
      </c>
      <c r="F35" s="63" t="e">
        <f>'LDP-10'!S75</f>
        <v>#DIV/0!</v>
      </c>
      <c r="G35" s="64" t="e">
        <f>'LDP-10'!T75</f>
        <v>#DIV/0!</v>
      </c>
    </row>
    <row r="36" spans="2:9" ht="12.75" customHeight="1" x14ac:dyDescent="0.2">
      <c r="B36" s="94" t="s">
        <v>91</v>
      </c>
      <c r="C36" s="65" t="e">
        <f>'LDP-10'!V76</f>
        <v>#VALUE!</v>
      </c>
      <c r="D36" s="66" t="e">
        <f>'LDP-10'!W76</f>
        <v>#VALUE!</v>
      </c>
      <c r="E36" s="67" t="e">
        <f>'LDP-10'!X76</f>
        <v>#VALUE!</v>
      </c>
      <c r="F36" s="68" t="e">
        <f>'LDP-10'!S76</f>
        <v>#DIV/0!</v>
      </c>
      <c r="G36" s="69" t="e">
        <f>'LDP-10'!T76</f>
        <v>#DIV/0!</v>
      </c>
    </row>
    <row r="37" spans="2:9" ht="12" customHeight="1" thickBot="1" x14ac:dyDescent="0.25">
      <c r="B37" s="95" t="s">
        <v>93</v>
      </c>
      <c r="C37" s="65" t="e">
        <f>'LDP-10'!V77</f>
        <v>#VALUE!</v>
      </c>
      <c r="D37" s="66" t="e">
        <f>'LDP-10'!W77</f>
        <v>#VALUE!</v>
      </c>
      <c r="E37" s="67" t="e">
        <f>'LDP-10'!X77</f>
        <v>#VALUE!</v>
      </c>
      <c r="F37" s="68" t="e">
        <f>'LDP-10'!S77</f>
        <v>#DIV/0!</v>
      </c>
      <c r="G37" s="69" t="e">
        <f>'LDP-10'!T77</f>
        <v>#DIV/0!</v>
      </c>
    </row>
    <row r="38" spans="2:9" ht="12.75" customHeight="1" thickBot="1" x14ac:dyDescent="0.25">
      <c r="B38" s="81" t="s">
        <v>37</v>
      </c>
      <c r="C38" s="60" t="e">
        <f>'LDP-10'!V80</f>
        <v>#VALUE!</v>
      </c>
      <c r="D38" s="61" t="e">
        <f>'LDP-10'!W80</f>
        <v>#VALUE!</v>
      </c>
      <c r="E38" s="61" t="e">
        <f>'LDP-10'!X80</f>
        <v>#VALUE!</v>
      </c>
      <c r="F38" s="100" t="e">
        <f>'LDP-10'!S80</f>
        <v>#DIV/0!</v>
      </c>
      <c r="G38" s="101" t="e">
        <f>'LDP-10'!T80</f>
        <v>#DIV/0!</v>
      </c>
    </row>
    <row r="39" spans="2:9" ht="12.75" customHeight="1" thickBot="1" x14ac:dyDescent="0.25">
      <c r="B39" s="99" t="s">
        <v>90</v>
      </c>
      <c r="C39" s="96" t="e">
        <f>'LDP-10'!V78</f>
        <v>#VALUE!</v>
      </c>
      <c r="D39" s="97" t="e">
        <f>'LDP-10'!W78</f>
        <v>#VALUE!</v>
      </c>
      <c r="E39" s="98" t="e">
        <f>'LDP-10'!X78</f>
        <v>#VALUE!</v>
      </c>
      <c r="F39" s="100" t="e">
        <f>'LDP-10'!S78</f>
        <v>#DIV/0!</v>
      </c>
      <c r="G39" s="101" t="e">
        <f>'LDP-10'!T78</f>
        <v>#DIV/0!</v>
      </c>
    </row>
    <row r="40" spans="2:9" ht="12.75" customHeight="1" thickBot="1" x14ac:dyDescent="0.25">
      <c r="B40" s="105" t="s">
        <v>366</v>
      </c>
      <c r="C40" s="96" t="e">
        <f>'LDP-10'!V79</f>
        <v>#VALUE!</v>
      </c>
      <c r="D40" s="97" t="e">
        <f>'LDP-10'!W79</f>
        <v>#VALUE!</v>
      </c>
      <c r="E40" s="98" t="e">
        <f>'LDP-10'!X79</f>
        <v>#VALUE!</v>
      </c>
      <c r="F40" s="100" t="e">
        <f>'LDP-10'!S79</f>
        <v>#DIV/0!</v>
      </c>
      <c r="G40" s="101" t="e">
        <f>'LDP-10'!T79</f>
        <v>#DIV/0!</v>
      </c>
    </row>
  </sheetData>
  <phoneticPr fontId="1" type="noConversion"/>
  <conditionalFormatting sqref="C8:E8">
    <cfRule type="cellIs" dxfId="807" priority="427" stopIfTrue="1" operator="greaterThan">
      <formula>0.03</formula>
    </cfRule>
    <cfRule type="cellIs" dxfId="806" priority="428" stopIfTrue="1" operator="lessThan">
      <formula>-0.03</formula>
    </cfRule>
  </conditionalFormatting>
  <conditionalFormatting sqref="C5:E5 C7:E7">
    <cfRule type="cellIs" dxfId="805" priority="425" stopIfTrue="1" operator="greaterThan">
      <formula>0.03</formula>
    </cfRule>
    <cfRule type="cellIs" dxfId="804" priority="426" stopIfTrue="1" operator="lessThan">
      <formula>-0.03</formula>
    </cfRule>
  </conditionalFormatting>
  <conditionalFormatting sqref="C6:E6">
    <cfRule type="cellIs" dxfId="803" priority="241" stopIfTrue="1" operator="greaterThan">
      <formula>0.03</formula>
    </cfRule>
    <cfRule type="cellIs" dxfId="802" priority="242" stopIfTrue="1" operator="lessThan">
      <formula>-0.03</formula>
    </cfRule>
  </conditionalFormatting>
  <conditionalFormatting sqref="C9:E9">
    <cfRule type="cellIs" dxfId="801" priority="161" stopIfTrue="1" operator="greaterThan">
      <formula>0.03</formula>
    </cfRule>
    <cfRule type="cellIs" dxfId="800" priority="162" stopIfTrue="1" operator="lessThan">
      <formula>-0.03</formula>
    </cfRule>
  </conditionalFormatting>
  <conditionalFormatting sqref="C15:E15 C17:E17">
    <cfRule type="cellIs" dxfId="799" priority="157" stopIfTrue="1" operator="greaterThan">
      <formula>0.03</formula>
    </cfRule>
    <cfRule type="cellIs" dxfId="798" priority="158" stopIfTrue="1" operator="lessThan">
      <formula>-0.03</formula>
    </cfRule>
  </conditionalFormatting>
  <conditionalFormatting sqref="C18:E18">
    <cfRule type="cellIs" dxfId="797" priority="159" stopIfTrue="1" operator="greaterThan">
      <formula>0.03</formula>
    </cfRule>
    <cfRule type="cellIs" dxfId="796" priority="160" stopIfTrue="1" operator="lessThan">
      <formula>-0.03</formula>
    </cfRule>
  </conditionalFormatting>
  <conditionalFormatting sqref="C16:E16">
    <cfRule type="cellIs" dxfId="795" priority="155" stopIfTrue="1" operator="greaterThan">
      <formula>0.03</formula>
    </cfRule>
    <cfRule type="cellIs" dxfId="794" priority="156" stopIfTrue="1" operator="lessThan">
      <formula>-0.03</formula>
    </cfRule>
  </conditionalFormatting>
  <conditionalFormatting sqref="C19:E19">
    <cfRule type="cellIs" dxfId="793" priority="153" stopIfTrue="1" operator="greaterThan">
      <formula>0.03</formula>
    </cfRule>
    <cfRule type="cellIs" dxfId="792" priority="154" stopIfTrue="1" operator="lessThan">
      <formula>-0.03</formula>
    </cfRule>
  </conditionalFormatting>
  <conditionalFormatting sqref="C28:E28">
    <cfRule type="cellIs" dxfId="791" priority="147" stopIfTrue="1" operator="greaterThan">
      <formula>0.03</formula>
    </cfRule>
    <cfRule type="cellIs" dxfId="790" priority="148" stopIfTrue="1" operator="lessThan">
      <formula>-0.03</formula>
    </cfRule>
  </conditionalFormatting>
  <conditionalFormatting sqref="C25:E25 C27:E27">
    <cfRule type="cellIs" dxfId="789" priority="145" stopIfTrue="1" operator="greaterThan">
      <formula>0.03</formula>
    </cfRule>
    <cfRule type="cellIs" dxfId="788" priority="146" stopIfTrue="1" operator="lessThan">
      <formula>-0.03</formula>
    </cfRule>
  </conditionalFormatting>
  <conditionalFormatting sqref="C26:E26">
    <cfRule type="cellIs" dxfId="787" priority="143" stopIfTrue="1" operator="greaterThan">
      <formula>0.03</formula>
    </cfRule>
    <cfRule type="cellIs" dxfId="786" priority="144" stopIfTrue="1" operator="lessThan">
      <formula>-0.03</formula>
    </cfRule>
  </conditionalFormatting>
  <conditionalFormatting sqref="C29:E29">
    <cfRule type="cellIs" dxfId="785" priority="141" stopIfTrue="1" operator="greaterThan">
      <formula>0.03</formula>
    </cfRule>
    <cfRule type="cellIs" dxfId="784" priority="142" stopIfTrue="1" operator="lessThan">
      <formula>-0.03</formula>
    </cfRule>
  </conditionalFormatting>
  <conditionalFormatting sqref="C38:E38">
    <cfRule type="cellIs" dxfId="783" priority="135" stopIfTrue="1" operator="greaterThan">
      <formula>0.03</formula>
    </cfRule>
    <cfRule type="cellIs" dxfId="782" priority="136" stopIfTrue="1" operator="lessThan">
      <formula>-0.03</formula>
    </cfRule>
  </conditionalFormatting>
  <conditionalFormatting sqref="C35:E35 C37:E37">
    <cfRule type="cellIs" dxfId="781" priority="133" stopIfTrue="1" operator="greaterThan">
      <formula>0.03</formula>
    </cfRule>
    <cfRule type="cellIs" dxfId="780" priority="134" stopIfTrue="1" operator="lessThan">
      <formula>-0.03</formula>
    </cfRule>
  </conditionalFormatting>
  <conditionalFormatting sqref="C36:E36">
    <cfRule type="cellIs" dxfId="779" priority="131" stopIfTrue="1" operator="greaterThan">
      <formula>0.03</formula>
    </cfRule>
    <cfRule type="cellIs" dxfId="778" priority="132" stopIfTrue="1" operator="lessThan">
      <formula>-0.03</formula>
    </cfRule>
  </conditionalFormatting>
  <conditionalFormatting sqref="C39:E39">
    <cfRule type="cellIs" dxfId="777" priority="129" stopIfTrue="1" operator="greaterThan">
      <formula>0.03</formula>
    </cfRule>
    <cfRule type="cellIs" dxfId="776" priority="130" stopIfTrue="1" operator="lessThan">
      <formula>-0.03</formula>
    </cfRule>
  </conditionalFormatting>
  <conditionalFormatting sqref="C10:E10">
    <cfRule type="cellIs" dxfId="775" priority="127" stopIfTrue="1" operator="greaterThan">
      <formula>0.03</formula>
    </cfRule>
    <cfRule type="cellIs" dxfId="774" priority="128" stopIfTrue="1" operator="lessThan">
      <formula>-0.03</formula>
    </cfRule>
  </conditionalFormatting>
  <conditionalFormatting sqref="C20:E20">
    <cfRule type="cellIs" dxfId="773" priority="125" stopIfTrue="1" operator="greaterThan">
      <formula>0.03</formula>
    </cfRule>
    <cfRule type="cellIs" dxfId="772" priority="126" stopIfTrue="1" operator="lessThan">
      <formula>-0.03</formula>
    </cfRule>
  </conditionalFormatting>
  <conditionalFormatting sqref="C30:E30">
    <cfRule type="cellIs" dxfId="771" priority="123" stopIfTrue="1" operator="greaterThan">
      <formula>0.03</formula>
    </cfRule>
    <cfRule type="cellIs" dxfId="770" priority="124" stopIfTrue="1" operator="lessThan">
      <formula>-0.03</formula>
    </cfRule>
  </conditionalFormatting>
  <conditionalFormatting sqref="C40:E40">
    <cfRule type="cellIs" dxfId="769" priority="121" stopIfTrue="1" operator="greaterThan">
      <formula>0.03</formula>
    </cfRule>
    <cfRule type="cellIs" dxfId="768" priority="122" stopIfTrue="1" operator="lessThan">
      <formula>-0.03</formula>
    </cfRule>
  </conditionalFormatting>
  <conditionalFormatting sqref="K20:M20">
    <cfRule type="cellIs" dxfId="767" priority="59" stopIfTrue="1" operator="greaterThan">
      <formula>0.03</formula>
    </cfRule>
    <cfRule type="cellIs" dxfId="766" priority="60" stopIfTrue="1" operator="lessThan">
      <formula>-0.03</formula>
    </cfRule>
  </conditionalFormatting>
  <conditionalFormatting sqref="K17:M17 K19:M19">
    <cfRule type="cellIs" dxfId="765" priority="57" stopIfTrue="1" operator="greaterThan">
      <formula>0.03</formula>
    </cfRule>
    <cfRule type="cellIs" dxfId="764" priority="58" stopIfTrue="1" operator="lessThan">
      <formula>-0.03</formula>
    </cfRule>
  </conditionalFormatting>
  <conditionalFormatting sqref="K18:M18">
    <cfRule type="cellIs" dxfId="763" priority="55" stopIfTrue="1" operator="greaterThan">
      <formula>0.03</formula>
    </cfRule>
    <cfRule type="cellIs" dxfId="762" priority="56" stopIfTrue="1" operator="lessThan">
      <formula>-0.03</formula>
    </cfRule>
  </conditionalFormatting>
  <conditionalFormatting sqref="K21:M21">
    <cfRule type="cellIs" dxfId="761" priority="53" stopIfTrue="1" operator="greaterThan">
      <formula>0.03</formula>
    </cfRule>
    <cfRule type="cellIs" dxfId="760" priority="54" stopIfTrue="1" operator="lessThan">
      <formula>-0.03</formula>
    </cfRule>
  </conditionalFormatting>
  <conditionalFormatting sqref="K27:M27 K29:M29">
    <cfRule type="cellIs" dxfId="759" priority="49" stopIfTrue="1" operator="greaterThan">
      <formula>0.03</formula>
    </cfRule>
    <cfRule type="cellIs" dxfId="758" priority="50" stopIfTrue="1" operator="lessThan">
      <formula>-0.03</formula>
    </cfRule>
  </conditionalFormatting>
  <conditionalFormatting sqref="K30:M30">
    <cfRule type="cellIs" dxfId="757" priority="51" stopIfTrue="1" operator="greaterThan">
      <formula>0.03</formula>
    </cfRule>
    <cfRule type="cellIs" dxfId="756" priority="52" stopIfTrue="1" operator="lessThan">
      <formula>-0.03</formula>
    </cfRule>
  </conditionalFormatting>
  <conditionalFormatting sqref="K28:M28">
    <cfRule type="cellIs" dxfId="755" priority="47" stopIfTrue="1" operator="greaterThan">
      <formula>0.03</formula>
    </cfRule>
    <cfRule type="cellIs" dxfId="754" priority="48" stopIfTrue="1" operator="lessThan">
      <formula>-0.03</formula>
    </cfRule>
  </conditionalFormatting>
  <conditionalFormatting sqref="K31:M31">
    <cfRule type="cellIs" dxfId="753" priority="45" stopIfTrue="1" operator="greaterThan">
      <formula>0.03</formula>
    </cfRule>
    <cfRule type="cellIs" dxfId="752" priority="46" stopIfTrue="1" operator="lessThan">
      <formula>-0.03</formula>
    </cfRule>
  </conditionalFormatting>
  <conditionalFormatting sqref="K40:M40">
    <cfRule type="cellIs" dxfId="751" priority="43" stopIfTrue="1" operator="greaterThan">
      <formula>0.03</formula>
    </cfRule>
    <cfRule type="cellIs" dxfId="750" priority="44" stopIfTrue="1" operator="lessThan">
      <formula>-0.03</formula>
    </cfRule>
  </conditionalFormatting>
  <conditionalFormatting sqref="K37:M37 K39:M39">
    <cfRule type="cellIs" dxfId="749" priority="41" stopIfTrue="1" operator="greaterThan">
      <formula>0.03</formula>
    </cfRule>
    <cfRule type="cellIs" dxfId="748" priority="42" stopIfTrue="1" operator="lessThan">
      <formula>-0.03</formula>
    </cfRule>
  </conditionalFormatting>
  <conditionalFormatting sqref="K38:M38">
    <cfRule type="cellIs" dxfId="747" priority="39" stopIfTrue="1" operator="greaterThan">
      <formula>0.03</formula>
    </cfRule>
    <cfRule type="cellIs" dxfId="746" priority="40" stopIfTrue="1" operator="lessThan">
      <formula>-0.03</formula>
    </cfRule>
  </conditionalFormatting>
  <conditionalFormatting sqref="K41:M41">
    <cfRule type="cellIs" dxfId="745" priority="37" stopIfTrue="1" operator="greaterThan">
      <formula>0.03</formula>
    </cfRule>
    <cfRule type="cellIs" dxfId="744" priority="38" stopIfTrue="1" operator="lessThan">
      <formula>-0.03</formula>
    </cfRule>
  </conditionalFormatting>
  <conditionalFormatting sqref="K22:M22">
    <cfRule type="cellIs" dxfId="743" priority="35" stopIfTrue="1" operator="greaterThan">
      <formula>0.03</formula>
    </cfRule>
    <cfRule type="cellIs" dxfId="742" priority="36" stopIfTrue="1" operator="lessThan">
      <formula>-0.03</formula>
    </cfRule>
  </conditionalFormatting>
  <conditionalFormatting sqref="K32:M32">
    <cfRule type="cellIs" dxfId="741" priority="33" stopIfTrue="1" operator="greaterThan">
      <formula>0.03</formula>
    </cfRule>
    <cfRule type="cellIs" dxfId="740" priority="34" stopIfTrue="1" operator="lessThan">
      <formula>-0.03</formula>
    </cfRule>
  </conditionalFormatting>
  <conditionalFormatting sqref="K42:M42">
    <cfRule type="cellIs" dxfId="739" priority="31" stopIfTrue="1" operator="greaterThan">
      <formula>0.03</formula>
    </cfRule>
    <cfRule type="cellIs" dxfId="738" priority="32" stopIfTrue="1" operator="lessThan">
      <formula>-0.03</formula>
    </cfRule>
  </conditionalFormatting>
  <conditionalFormatting sqref="R20:T20">
    <cfRule type="cellIs" dxfId="737" priority="29" stopIfTrue="1" operator="greaterThan">
      <formula>0.03</formula>
    </cfRule>
    <cfRule type="cellIs" dxfId="736" priority="30" stopIfTrue="1" operator="lessThan">
      <formula>-0.03</formula>
    </cfRule>
  </conditionalFormatting>
  <conditionalFormatting sqref="R17:T17 R19:T19">
    <cfRule type="cellIs" dxfId="735" priority="27" stopIfTrue="1" operator="greaterThan">
      <formula>0.03</formula>
    </cfRule>
    <cfRule type="cellIs" dxfId="734" priority="28" stopIfTrue="1" operator="lessThan">
      <formula>-0.03</formula>
    </cfRule>
  </conditionalFormatting>
  <conditionalFormatting sqref="R18:T18">
    <cfRule type="cellIs" dxfId="733" priority="25" stopIfTrue="1" operator="greaterThan">
      <formula>0.03</formula>
    </cfRule>
    <cfRule type="cellIs" dxfId="732" priority="26" stopIfTrue="1" operator="lessThan">
      <formula>-0.03</formula>
    </cfRule>
  </conditionalFormatting>
  <conditionalFormatting sqref="R21:T21">
    <cfRule type="cellIs" dxfId="731" priority="23" stopIfTrue="1" operator="greaterThan">
      <formula>0.03</formula>
    </cfRule>
    <cfRule type="cellIs" dxfId="730" priority="24" stopIfTrue="1" operator="lessThan">
      <formula>-0.03</formula>
    </cfRule>
  </conditionalFormatting>
  <conditionalFormatting sqref="R27:T27 R29:T29">
    <cfRule type="cellIs" dxfId="729" priority="19" stopIfTrue="1" operator="greaterThan">
      <formula>0.03</formula>
    </cfRule>
    <cfRule type="cellIs" dxfId="728" priority="20" stopIfTrue="1" operator="lessThan">
      <formula>-0.03</formula>
    </cfRule>
  </conditionalFormatting>
  <conditionalFormatting sqref="R30:T30">
    <cfRule type="cellIs" dxfId="727" priority="21" stopIfTrue="1" operator="greaterThan">
      <formula>0.03</formula>
    </cfRule>
    <cfRule type="cellIs" dxfId="726" priority="22" stopIfTrue="1" operator="lessThan">
      <formula>-0.03</formula>
    </cfRule>
  </conditionalFormatting>
  <conditionalFormatting sqref="R28:T28">
    <cfRule type="cellIs" dxfId="725" priority="17" stopIfTrue="1" operator="greaterThan">
      <formula>0.03</formula>
    </cfRule>
    <cfRule type="cellIs" dxfId="724" priority="18" stopIfTrue="1" operator="lessThan">
      <formula>-0.03</formula>
    </cfRule>
  </conditionalFormatting>
  <conditionalFormatting sqref="R31:T31">
    <cfRule type="cellIs" dxfId="723" priority="15" stopIfTrue="1" operator="greaterThan">
      <formula>0.03</formula>
    </cfRule>
    <cfRule type="cellIs" dxfId="722" priority="16" stopIfTrue="1" operator="lessThan">
      <formula>-0.03</formula>
    </cfRule>
  </conditionalFormatting>
  <conditionalFormatting sqref="R40:T40">
    <cfRule type="cellIs" dxfId="721" priority="13" stopIfTrue="1" operator="greaterThan">
      <formula>0.03</formula>
    </cfRule>
    <cfRule type="cellIs" dxfId="720" priority="14" stopIfTrue="1" operator="lessThan">
      <formula>-0.03</formula>
    </cfRule>
  </conditionalFormatting>
  <conditionalFormatting sqref="R37:T37 R39:T39">
    <cfRule type="cellIs" dxfId="719" priority="11" stopIfTrue="1" operator="greaterThan">
      <formula>0.03</formula>
    </cfRule>
    <cfRule type="cellIs" dxfId="718" priority="12" stopIfTrue="1" operator="lessThan">
      <formula>-0.03</formula>
    </cfRule>
  </conditionalFormatting>
  <conditionalFormatting sqref="R38:T38">
    <cfRule type="cellIs" dxfId="717" priority="9" stopIfTrue="1" operator="greaterThan">
      <formula>0.03</formula>
    </cfRule>
    <cfRule type="cellIs" dxfId="716" priority="10" stopIfTrue="1" operator="lessThan">
      <formula>-0.03</formula>
    </cfRule>
  </conditionalFormatting>
  <conditionalFormatting sqref="R41:T41">
    <cfRule type="cellIs" dxfId="715" priority="7" stopIfTrue="1" operator="greaterThan">
      <formula>0.03</formula>
    </cfRule>
    <cfRule type="cellIs" dxfId="714" priority="8" stopIfTrue="1" operator="lessThan">
      <formula>-0.03</formula>
    </cfRule>
  </conditionalFormatting>
  <conditionalFormatting sqref="R22:T22">
    <cfRule type="cellIs" dxfId="713" priority="5" stopIfTrue="1" operator="greaterThan">
      <formula>0.03</formula>
    </cfRule>
    <cfRule type="cellIs" dxfId="712" priority="6" stopIfTrue="1" operator="lessThan">
      <formula>-0.03</formula>
    </cfRule>
  </conditionalFormatting>
  <conditionalFormatting sqref="R32:T32">
    <cfRule type="cellIs" dxfId="711" priority="3" stopIfTrue="1" operator="greaterThan">
      <formula>0.03</formula>
    </cfRule>
    <cfRule type="cellIs" dxfId="710" priority="4" stopIfTrue="1" operator="lessThan">
      <formula>-0.03</formula>
    </cfRule>
  </conditionalFormatting>
  <conditionalFormatting sqref="R42:T42">
    <cfRule type="cellIs" dxfId="709" priority="1" stopIfTrue="1" operator="greaterThan">
      <formula>0.03</formula>
    </cfRule>
    <cfRule type="cellIs" dxfId="70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 r:id="rId1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/>
  <dimension ref="A1:AQ86"/>
  <sheetViews>
    <sheetView zoomScale="70" zoomScaleNormal="70" workbookViewId="0">
      <selection activeCell="B2" sqref="B2"/>
    </sheetView>
  </sheetViews>
  <sheetFormatPr defaultColWidth="8.875" defaultRowHeight="14.25" x14ac:dyDescent="0.15"/>
  <cols>
    <col min="2" max="2" width="21.375" customWidth="1"/>
    <col min="25" max="26" width="9" customWidth="1"/>
    <col min="27" max="27" width="16.375" style="30" bestFit="1" customWidth="1"/>
    <col min="28" max="39" width="9" customWidth="1"/>
  </cols>
  <sheetData>
    <row r="1" spans="1:43" ht="15" thickBot="1" x14ac:dyDescent="0.2">
      <c r="A1" t="s">
        <v>24</v>
      </c>
      <c r="AD1" t="s">
        <v>22</v>
      </c>
      <c r="AI1" t="s">
        <v>23</v>
      </c>
      <c r="AN1" t="s">
        <v>29</v>
      </c>
    </row>
    <row r="2" spans="1:43" ht="15.75" thickBot="1" x14ac:dyDescent="0.25">
      <c r="A2" s="29" t="s">
        <v>39</v>
      </c>
      <c r="B2" s="29" t="s">
        <v>85</v>
      </c>
      <c r="AD2" s="5" t="s">
        <v>7</v>
      </c>
      <c r="AE2" s="6" t="s">
        <v>8</v>
      </c>
      <c r="AF2" s="6" t="s">
        <v>9</v>
      </c>
      <c r="AG2" s="6" t="s">
        <v>10</v>
      </c>
      <c r="AI2" s="5" t="s">
        <v>7</v>
      </c>
      <c r="AJ2" s="6" t="s">
        <v>8</v>
      </c>
      <c r="AK2" s="6" t="s">
        <v>9</v>
      </c>
      <c r="AL2" s="6" t="s">
        <v>10</v>
      </c>
      <c r="AN2" s="5" t="s">
        <v>7</v>
      </c>
      <c r="AO2" s="6" t="s">
        <v>8</v>
      </c>
      <c r="AP2" s="6" t="s">
        <v>9</v>
      </c>
      <c r="AQ2" s="6" t="s">
        <v>10</v>
      </c>
    </row>
    <row r="3" spans="1:43" ht="15" x14ac:dyDescent="0.2">
      <c r="Z3" t="s">
        <v>38</v>
      </c>
      <c r="AA3" s="20" t="s">
        <v>81</v>
      </c>
      <c r="AB3">
        <v>3</v>
      </c>
      <c r="AC3">
        <f>VLOOKUP(B2,AA3:AB43,2,FALSE)</f>
        <v>67</v>
      </c>
      <c r="AD3">
        <f ca="1">INDIRECT("'"&amp;$A$2&amp;"'!"&amp;ADDRESS($AC3,4))</f>
        <v>0</v>
      </c>
      <c r="AE3">
        <f ca="1">INDIRECT("'"&amp;$A$2&amp;"'!"&amp;ADDRESS($AC3,5))</f>
        <v>0</v>
      </c>
      <c r="AF3">
        <f ca="1">INDIRECT("'"&amp;$A$2&amp;"'!"&amp;ADDRESS($AC3,6))</f>
        <v>0</v>
      </c>
      <c r="AG3">
        <f ca="1">INDIRECT("'"&amp;$A$2&amp;"'!"&amp;ADDRESS($AC3,7))</f>
        <v>0</v>
      </c>
      <c r="AI3">
        <f ca="1">INDIRECT("'"&amp;$A$2&amp;"'!"&amp;ADDRESS($AC3,12))</f>
        <v>0</v>
      </c>
      <c r="AJ3">
        <f ca="1">INDIRECT("'"&amp;$A$2&amp;"'!"&amp;ADDRESS($AC3,13))</f>
        <v>0</v>
      </c>
      <c r="AK3">
        <f ca="1">INDIRECT("'"&amp;$A$2&amp;"'!"&amp;ADDRESS($AC3,14))</f>
        <v>0</v>
      </c>
      <c r="AL3">
        <f ca="1">INDIRECT("'"&amp;$A$2&amp;"'!"&amp;ADDRESS($AC3,15))</f>
        <v>0</v>
      </c>
      <c r="AN3">
        <f ca="1">INDIRECT("'"&amp;$A$2&amp;"'!"&amp;ADDRESS($AC3,29))</f>
        <v>0</v>
      </c>
      <c r="AO3">
        <f ca="1">INDIRECT("'"&amp;$A$2&amp;"'!"&amp;ADDRESS($AC3,30))</f>
        <v>0</v>
      </c>
      <c r="AP3">
        <f ca="1">INDIRECT("'"&amp;$A$2&amp;"'!"&amp;ADDRESS($AC3,31))</f>
        <v>0</v>
      </c>
      <c r="AQ3">
        <f ca="1">INDIRECT("'"&amp;$A$2&amp;"'!"&amp;ADDRESS($AC3,32))</f>
        <v>0</v>
      </c>
    </row>
    <row r="4" spans="1:43" ht="15" x14ac:dyDescent="0.2">
      <c r="Z4" t="s">
        <v>39</v>
      </c>
      <c r="AA4" s="20" t="s">
        <v>64</v>
      </c>
      <c r="AB4">
        <f>AB3+4</f>
        <v>7</v>
      </c>
      <c r="AC4">
        <f>AC3+1</f>
        <v>68</v>
      </c>
      <c r="AD4">
        <f ca="1">INDIRECT("'"&amp;$A$2&amp;"'!"&amp;ADDRESS($AC4,4))</f>
        <v>0</v>
      </c>
      <c r="AE4">
        <f ca="1">INDIRECT("'"&amp;$A$2&amp;"'!"&amp;ADDRESS($AC4,5))</f>
        <v>0</v>
      </c>
      <c r="AF4">
        <f ca="1">INDIRECT("'"&amp;$A$2&amp;"'!"&amp;ADDRESS($AC4,6))</f>
        <v>0</v>
      </c>
      <c r="AG4">
        <f ca="1">INDIRECT("'"&amp;$A$2&amp;"'!"&amp;ADDRESS($AC4,7))</f>
        <v>0</v>
      </c>
      <c r="AI4">
        <f ca="1">INDIRECT("'"&amp;$A$2&amp;"'!"&amp;ADDRESS($AC4,12))</f>
        <v>0</v>
      </c>
      <c r="AJ4">
        <f ca="1">INDIRECT("'"&amp;$A$2&amp;"'!"&amp;ADDRESS($AC4,13))</f>
        <v>0</v>
      </c>
      <c r="AK4">
        <f ca="1">INDIRECT("'"&amp;$A$2&amp;"'!"&amp;ADDRESS($AC4,14))</f>
        <v>0</v>
      </c>
      <c r="AL4">
        <f ca="1">INDIRECT("'"&amp;$A$2&amp;"'!"&amp;ADDRESS($AC4,15))</f>
        <v>0</v>
      </c>
      <c r="AN4">
        <f ca="1">INDIRECT("'"&amp;$A$2&amp;"'!"&amp;ADDRESS($AC4,29))</f>
        <v>0</v>
      </c>
      <c r="AO4">
        <f ca="1">INDIRECT("'"&amp;$A$2&amp;"'!"&amp;ADDRESS($AC4,30))</f>
        <v>0</v>
      </c>
      <c r="AP4">
        <f ca="1">INDIRECT("'"&amp;$A$2&amp;"'!"&amp;ADDRESS($AC4,31))</f>
        <v>0</v>
      </c>
      <c r="AQ4">
        <f ca="1">INDIRECT("'"&amp;$A$2&amp;"'!"&amp;ADDRESS($AC4,32))</f>
        <v>0</v>
      </c>
    </row>
    <row r="5" spans="1:43" ht="15" x14ac:dyDescent="0.2">
      <c r="Z5" t="s">
        <v>40</v>
      </c>
      <c r="AA5" s="20" t="s">
        <v>65</v>
      </c>
      <c r="AB5">
        <f t="shared" ref="AB5:AB20" si="0">AB4+4</f>
        <v>11</v>
      </c>
      <c r="AC5">
        <f>AC4+1</f>
        <v>69</v>
      </c>
      <c r="AD5">
        <f ca="1">INDIRECT("'"&amp;$A$2&amp;"'!"&amp;ADDRESS($AC5,4))</f>
        <v>0</v>
      </c>
      <c r="AE5">
        <f ca="1">INDIRECT("'"&amp;$A$2&amp;"'!"&amp;ADDRESS($AC5,5))</f>
        <v>0</v>
      </c>
      <c r="AF5">
        <f ca="1">INDIRECT("'"&amp;$A$2&amp;"'!"&amp;ADDRESS($AC5,6))</f>
        <v>0</v>
      </c>
      <c r="AG5">
        <f ca="1">INDIRECT("'"&amp;$A$2&amp;"'!"&amp;ADDRESS($AC5,7))</f>
        <v>0</v>
      </c>
      <c r="AI5">
        <f ca="1">INDIRECT("'"&amp;$A$2&amp;"'!"&amp;ADDRESS($AC5,12))</f>
        <v>0</v>
      </c>
      <c r="AJ5">
        <f ca="1">INDIRECT("'"&amp;$A$2&amp;"'!"&amp;ADDRESS($AC5,13))</f>
        <v>0</v>
      </c>
      <c r="AK5">
        <f ca="1">INDIRECT("'"&amp;$A$2&amp;"'!"&amp;ADDRESS($AC5,14))</f>
        <v>0</v>
      </c>
      <c r="AL5">
        <f ca="1">INDIRECT("'"&amp;$A$2&amp;"'!"&amp;ADDRESS($AC5,15))</f>
        <v>0</v>
      </c>
      <c r="AN5">
        <f ca="1">INDIRECT("'"&amp;$A$2&amp;"'!"&amp;ADDRESS($AC5,29))</f>
        <v>0</v>
      </c>
      <c r="AO5">
        <f ca="1">INDIRECT("'"&amp;$A$2&amp;"'!"&amp;ADDRESS($AC5,30))</f>
        <v>0</v>
      </c>
      <c r="AP5">
        <f ca="1">INDIRECT("'"&amp;$A$2&amp;"'!"&amp;ADDRESS($AC5,31))</f>
        <v>0</v>
      </c>
      <c r="AQ5">
        <f ca="1">INDIRECT("'"&amp;$A$2&amp;"'!"&amp;ADDRESS($AC5,32))</f>
        <v>0</v>
      </c>
    </row>
    <row r="6" spans="1:43" ht="15" x14ac:dyDescent="0.2">
      <c r="Z6" t="s">
        <v>41</v>
      </c>
      <c r="AA6" s="20" t="s">
        <v>82</v>
      </c>
      <c r="AB6">
        <f t="shared" si="0"/>
        <v>15</v>
      </c>
      <c r="AC6">
        <f>AC5+1</f>
        <v>70</v>
      </c>
      <c r="AD6">
        <f ca="1">INDIRECT("'"&amp;$A$2&amp;"'!"&amp;ADDRESS($AC6,4))</f>
        <v>0</v>
      </c>
      <c r="AE6">
        <f ca="1">INDIRECT("'"&amp;$A$2&amp;"'!"&amp;ADDRESS($AC6,5))</f>
        <v>0</v>
      </c>
      <c r="AF6">
        <f ca="1">INDIRECT("'"&amp;$A$2&amp;"'!"&amp;ADDRESS($AC6,6))</f>
        <v>0</v>
      </c>
      <c r="AG6">
        <f ca="1">INDIRECT("'"&amp;$A$2&amp;"'!"&amp;ADDRESS($AC6,7))</f>
        <v>0</v>
      </c>
      <c r="AI6">
        <f ca="1">INDIRECT("'"&amp;$A$2&amp;"'!"&amp;ADDRESS($AC6,12))</f>
        <v>0</v>
      </c>
      <c r="AJ6">
        <f ca="1">INDIRECT("'"&amp;$A$2&amp;"'!"&amp;ADDRESS($AC6,13))</f>
        <v>0</v>
      </c>
      <c r="AK6">
        <f ca="1">INDIRECT("'"&amp;$A$2&amp;"'!"&amp;ADDRESS($AC6,14))</f>
        <v>0</v>
      </c>
      <c r="AL6">
        <f ca="1">INDIRECT("'"&amp;$A$2&amp;"'!"&amp;ADDRESS($AC6,15))</f>
        <v>0</v>
      </c>
      <c r="AN6">
        <f ca="1">INDIRECT("'"&amp;$A$2&amp;"'!"&amp;ADDRESS($AC6,29))</f>
        <v>0</v>
      </c>
      <c r="AO6">
        <f ca="1">INDIRECT("'"&amp;$A$2&amp;"'!"&amp;ADDRESS($AC6,30))</f>
        <v>0</v>
      </c>
      <c r="AP6">
        <f ca="1">INDIRECT("'"&amp;$A$2&amp;"'!"&amp;ADDRESS($AC6,31))</f>
        <v>0</v>
      </c>
      <c r="AQ6">
        <f ca="1">INDIRECT("'"&amp;$A$2&amp;"'!"&amp;ADDRESS($AC6,32))</f>
        <v>0</v>
      </c>
    </row>
    <row r="7" spans="1:43" ht="15" x14ac:dyDescent="0.2">
      <c r="AA7" s="20" t="s">
        <v>66</v>
      </c>
      <c r="AB7">
        <f t="shared" si="0"/>
        <v>19</v>
      </c>
    </row>
    <row r="8" spans="1:43" ht="15" x14ac:dyDescent="0.2">
      <c r="AA8" s="20" t="s">
        <v>67</v>
      </c>
      <c r="AB8">
        <f t="shared" si="0"/>
        <v>23</v>
      </c>
      <c r="AD8" t="str">
        <f>"Sequence: "&amp;B2 &amp; "     Coding Conditions: " &amp; A2</f>
        <v>Sequence: BlowingBubbles     Coding Conditions: RA-10</v>
      </c>
    </row>
    <row r="9" spans="1:43" ht="15" x14ac:dyDescent="0.2">
      <c r="AA9" s="20" t="s">
        <v>68</v>
      </c>
      <c r="AB9">
        <f t="shared" si="0"/>
        <v>27</v>
      </c>
    </row>
    <row r="10" spans="1:43" ht="15" x14ac:dyDescent="0.2">
      <c r="AA10" s="20" t="s">
        <v>69</v>
      </c>
      <c r="AB10">
        <f t="shared" si="0"/>
        <v>31</v>
      </c>
    </row>
    <row r="11" spans="1:43" ht="15" x14ac:dyDescent="0.2">
      <c r="AA11" s="20" t="s">
        <v>70</v>
      </c>
      <c r="AB11">
        <f t="shared" si="0"/>
        <v>35</v>
      </c>
      <c r="AD11" t="s">
        <v>25</v>
      </c>
      <c r="AE11" t="s">
        <v>26</v>
      </c>
      <c r="AF11" t="s">
        <v>27</v>
      </c>
      <c r="AG11" t="s">
        <v>28</v>
      </c>
    </row>
    <row r="12" spans="1:43" ht="15" x14ac:dyDescent="0.2">
      <c r="AA12" s="20" t="s">
        <v>71</v>
      </c>
      <c r="AB12">
        <f t="shared" si="0"/>
        <v>39</v>
      </c>
      <c r="AD12" s="31">
        <f ca="1">MAX(AD3:AD6,AI3:AI6, AN3:AN6)</f>
        <v>0</v>
      </c>
      <c r="AE12" s="31">
        <f ca="1">MAX(AE3:AE6,AJ3:AJ6, AO3:AO6)</f>
        <v>0</v>
      </c>
      <c r="AF12" s="31">
        <f ca="1">MAX(AF3:AF6,AK3:AK6, AP3:AP6)</f>
        <v>0</v>
      </c>
      <c r="AG12" s="31">
        <f ca="1">MAX(AG3:AG6,AL3:AL6, AQ3:AQ6)</f>
        <v>0</v>
      </c>
    </row>
    <row r="13" spans="1:43" ht="15" x14ac:dyDescent="0.2">
      <c r="AA13" s="20" t="s">
        <v>72</v>
      </c>
      <c r="AB13">
        <f t="shared" si="0"/>
        <v>43</v>
      </c>
      <c r="AD13" s="31">
        <f ca="1">MIN(AD3:AD6,AI3:AI6,AN3:AN6)</f>
        <v>0</v>
      </c>
      <c r="AE13" s="31">
        <f ca="1">MIN(AE3:AE6,AJ3:AJ6,AO3:AO6)</f>
        <v>0</v>
      </c>
      <c r="AF13" s="31">
        <f ca="1">MIN(AF3:AF6,AK3:AK6,AP3:AP6)</f>
        <v>0</v>
      </c>
      <c r="AG13" s="31">
        <f ca="1">MIN(AG3:AG6,AL3:AL6,AQ3:AQ6)</f>
        <v>0</v>
      </c>
    </row>
    <row r="14" spans="1:43" ht="15" x14ac:dyDescent="0.2">
      <c r="AA14" s="20" t="s">
        <v>73</v>
      </c>
      <c r="AB14">
        <f t="shared" si="0"/>
        <v>47</v>
      </c>
      <c r="AD14" s="32"/>
      <c r="AE14" s="32"/>
      <c r="AF14" s="32"/>
      <c r="AG14" s="32"/>
    </row>
    <row r="15" spans="1:43" ht="15" x14ac:dyDescent="0.2">
      <c r="AA15" s="20" t="s">
        <v>58</v>
      </c>
      <c r="AB15">
        <f t="shared" si="0"/>
        <v>51</v>
      </c>
      <c r="AD15" s="32">
        <f ca="1">POWER(10,CEILING(LOG(AD12+1),1))</f>
        <v>1</v>
      </c>
      <c r="AE15" s="33">
        <f ca="1">CEILING(AE12+0.25,0.5)</f>
        <v>0.5</v>
      </c>
      <c r="AF15" s="33">
        <f ca="1">CEILING(AF12+0.25,0.5)</f>
        <v>0.5</v>
      </c>
      <c r="AG15" s="33">
        <f ca="1">CEILING(AG12+0.25,0.5)</f>
        <v>0.5</v>
      </c>
    </row>
    <row r="16" spans="1:43" ht="15" x14ac:dyDescent="0.2">
      <c r="AA16" s="20" t="s">
        <v>59</v>
      </c>
      <c r="AB16">
        <f t="shared" si="0"/>
        <v>55</v>
      </c>
      <c r="AD16" s="32">
        <f ca="1">POWER(10,FLOOR(LOG(AD13+10),1))</f>
        <v>10</v>
      </c>
      <c r="AE16" s="33">
        <f ca="1">FLOOR(AE13-0.25,0.5)</f>
        <v>-0.5</v>
      </c>
      <c r="AF16" s="33">
        <f ca="1">FLOOR(AF13-0.25,0.5)</f>
        <v>-0.5</v>
      </c>
      <c r="AG16" s="33">
        <f ca="1">FLOOR(AG13-0.25,0.5)</f>
        <v>-0.5</v>
      </c>
    </row>
    <row r="17" spans="27:28" ht="15" x14ac:dyDescent="0.2">
      <c r="AA17" s="20" t="s">
        <v>83</v>
      </c>
      <c r="AB17">
        <f t="shared" si="0"/>
        <v>59</v>
      </c>
    </row>
    <row r="18" spans="27:28" ht="15" x14ac:dyDescent="0.2">
      <c r="AA18" s="20" t="s">
        <v>84</v>
      </c>
      <c r="AB18">
        <f t="shared" si="0"/>
        <v>63</v>
      </c>
    </row>
    <row r="19" spans="27:28" ht="15" x14ac:dyDescent="0.2">
      <c r="AA19" s="20" t="s">
        <v>85</v>
      </c>
      <c r="AB19">
        <f t="shared" si="0"/>
        <v>67</v>
      </c>
    </row>
    <row r="20" spans="27:28" ht="15" x14ac:dyDescent="0.2">
      <c r="AA20" s="20" t="s">
        <v>86</v>
      </c>
      <c r="AB20">
        <f t="shared" si="0"/>
        <v>71</v>
      </c>
    </row>
    <row r="21" spans="27:28" x14ac:dyDescent="0.15">
      <c r="AA21"/>
    </row>
    <row r="22" spans="27:28" x14ac:dyDescent="0.15">
      <c r="AA22"/>
    </row>
    <row r="23" spans="27:28" x14ac:dyDescent="0.15">
      <c r="AA23"/>
    </row>
    <row r="24" spans="27:28" x14ac:dyDescent="0.15">
      <c r="AA24"/>
    </row>
    <row r="25" spans="27:28" x14ac:dyDescent="0.15">
      <c r="AA25"/>
    </row>
    <row r="26" spans="27:28" x14ac:dyDescent="0.15">
      <c r="AA26"/>
    </row>
    <row r="27" spans="27:28" x14ac:dyDescent="0.15">
      <c r="AA27"/>
    </row>
    <row r="28" spans="27:28" x14ac:dyDescent="0.15">
      <c r="AA28"/>
    </row>
    <row r="29" spans="27:28" x14ac:dyDescent="0.15">
      <c r="AA29"/>
    </row>
    <row r="30" spans="27:28" x14ac:dyDescent="0.15">
      <c r="AA30"/>
    </row>
    <row r="31" spans="27:28" x14ac:dyDescent="0.15">
      <c r="AA31"/>
    </row>
    <row r="32" spans="27:28" x14ac:dyDescent="0.15">
      <c r="AA32"/>
    </row>
    <row r="33" spans="27:27" ht="15" x14ac:dyDescent="0.2">
      <c r="AA33" s="20"/>
    </row>
    <row r="34" spans="27:27" ht="15" x14ac:dyDescent="0.2">
      <c r="AA34" s="20"/>
    </row>
    <row r="35" spans="27:27" ht="15" x14ac:dyDescent="0.2">
      <c r="AA35" s="20"/>
    </row>
    <row r="36" spans="27:27" ht="15" x14ac:dyDescent="0.2">
      <c r="AA36" s="20"/>
    </row>
    <row r="37" spans="27:27" ht="15" x14ac:dyDescent="0.2">
      <c r="AA37" s="20"/>
    </row>
    <row r="38" spans="27:27" ht="15" x14ac:dyDescent="0.2">
      <c r="AA38" s="20"/>
    </row>
    <row r="39" spans="27:27" ht="15" x14ac:dyDescent="0.2">
      <c r="AA39" s="20"/>
    </row>
    <row r="40" spans="27:27" ht="15" x14ac:dyDescent="0.2">
      <c r="AA40" s="20"/>
    </row>
    <row r="41" spans="27:27" ht="15" x14ac:dyDescent="0.2">
      <c r="AA41" s="20"/>
    </row>
    <row r="42" spans="27:27" ht="15" x14ac:dyDescent="0.2">
      <c r="AA42" s="20"/>
    </row>
    <row r="43" spans="27:27" ht="15" x14ac:dyDescent="0.2">
      <c r="AA43" s="20"/>
    </row>
    <row r="44" spans="27:27" ht="15" x14ac:dyDescent="0.2">
      <c r="AA44" s="20"/>
    </row>
    <row r="45" spans="27:27" ht="15" x14ac:dyDescent="0.2">
      <c r="AA45" s="20"/>
    </row>
    <row r="46" spans="27:27" ht="15" x14ac:dyDescent="0.2">
      <c r="AA46" s="20"/>
    </row>
    <row r="47" spans="27:27" ht="15" x14ac:dyDescent="0.2">
      <c r="AA47" s="20"/>
    </row>
    <row r="48" spans="27:27" ht="15" x14ac:dyDescent="0.2">
      <c r="AA48" s="20"/>
    </row>
    <row r="49" spans="27:27" ht="15" x14ac:dyDescent="0.2">
      <c r="AA49" s="20"/>
    </row>
    <row r="50" spans="27:27" ht="15" x14ac:dyDescent="0.2">
      <c r="AA50" s="20"/>
    </row>
    <row r="51" spans="27:27" ht="15" x14ac:dyDescent="0.2">
      <c r="AA51" s="20"/>
    </row>
    <row r="52" spans="27:27" ht="15" x14ac:dyDescent="0.2">
      <c r="AA52" s="20"/>
    </row>
    <row r="53" spans="27:27" ht="15" x14ac:dyDescent="0.2">
      <c r="AA53" s="20"/>
    </row>
    <row r="54" spans="27:27" ht="15" x14ac:dyDescent="0.2">
      <c r="AA54" s="20"/>
    </row>
    <row r="55" spans="27:27" ht="15" x14ac:dyDescent="0.2">
      <c r="AA55" s="20"/>
    </row>
    <row r="56" spans="27:27" ht="15" x14ac:dyDescent="0.2">
      <c r="AA56" s="20"/>
    </row>
    <row r="57" spans="27:27" ht="15" x14ac:dyDescent="0.2">
      <c r="AA57" s="20"/>
    </row>
    <row r="58" spans="27:27" ht="15" x14ac:dyDescent="0.2">
      <c r="AA58" s="20"/>
    </row>
    <row r="59" spans="27:27" ht="15" x14ac:dyDescent="0.2">
      <c r="AA59" s="20"/>
    </row>
    <row r="60" spans="27:27" ht="15" x14ac:dyDescent="0.2">
      <c r="AA60" s="20"/>
    </row>
    <row r="61" spans="27:27" ht="15" x14ac:dyDescent="0.2">
      <c r="AA61" s="20"/>
    </row>
    <row r="62" spans="27:27" ht="15" x14ac:dyDescent="0.2">
      <c r="AA62" s="20"/>
    </row>
    <row r="63" spans="27:27" ht="15" x14ac:dyDescent="0.2">
      <c r="AA63" s="20"/>
    </row>
    <row r="64" spans="27:27" ht="15" x14ac:dyDescent="0.2">
      <c r="AA64" s="20"/>
    </row>
    <row r="65" spans="27:27" ht="15" x14ac:dyDescent="0.2">
      <c r="AA65" s="20"/>
    </row>
    <row r="66" spans="27:27" ht="15" x14ac:dyDescent="0.2">
      <c r="AA66" s="20"/>
    </row>
    <row r="67" spans="27:27" ht="15" x14ac:dyDescent="0.2">
      <c r="AA67" s="20"/>
    </row>
    <row r="68" spans="27:27" ht="15" x14ac:dyDescent="0.2">
      <c r="AA68" s="20"/>
    </row>
    <row r="69" spans="27:27" ht="15" x14ac:dyDescent="0.2">
      <c r="AA69" s="20"/>
    </row>
    <row r="70" spans="27:27" ht="15" x14ac:dyDescent="0.2">
      <c r="AA70" s="20"/>
    </row>
    <row r="71" spans="27:27" ht="15" x14ac:dyDescent="0.2">
      <c r="AA71" s="20"/>
    </row>
    <row r="72" spans="27:27" ht="15" x14ac:dyDescent="0.2">
      <c r="AA72" s="20"/>
    </row>
    <row r="73" spans="27:27" ht="15" x14ac:dyDescent="0.2">
      <c r="AA73" s="20"/>
    </row>
    <row r="74" spans="27:27" ht="15" x14ac:dyDescent="0.2">
      <c r="AA74" s="20"/>
    </row>
    <row r="75" spans="27:27" ht="15" x14ac:dyDescent="0.2">
      <c r="AA75" s="20"/>
    </row>
    <row r="76" spans="27:27" ht="15" x14ac:dyDescent="0.2">
      <c r="AA76" s="20"/>
    </row>
    <row r="77" spans="27:27" ht="15" x14ac:dyDescent="0.2">
      <c r="AA77" s="20"/>
    </row>
    <row r="78" spans="27:27" ht="15" x14ac:dyDescent="0.2">
      <c r="AA78" s="20"/>
    </row>
    <row r="79" spans="27:27" ht="15" x14ac:dyDescent="0.2">
      <c r="AA79" s="20"/>
    </row>
    <row r="80" spans="27:27" ht="15" x14ac:dyDescent="0.2">
      <c r="AA80" s="20"/>
    </row>
    <row r="81" spans="27:27" ht="15" x14ac:dyDescent="0.2">
      <c r="AA81" s="20"/>
    </row>
    <row r="82" spans="27:27" ht="15" x14ac:dyDescent="0.2">
      <c r="AA82" s="20"/>
    </row>
    <row r="83" spans="27:27" ht="15" x14ac:dyDescent="0.2">
      <c r="AA83" s="20"/>
    </row>
    <row r="84" spans="27:27" ht="15" x14ac:dyDescent="0.2">
      <c r="AA84" s="20"/>
    </row>
    <row r="85" spans="27:27" ht="15" x14ac:dyDescent="0.2">
      <c r="AA85" s="20"/>
    </row>
    <row r="86" spans="27:27" ht="15" x14ac:dyDescent="0.2">
      <c r="AA86" s="20"/>
    </row>
  </sheetData>
  <dataConsolidate/>
  <phoneticPr fontId="1" type="noConversion"/>
  <dataValidations count="2">
    <dataValidation type="list" allowBlank="1" showInputMessage="1" showErrorMessage="1" sqref="A2" xr:uid="{00000000-0002-0000-0200-000000000000}">
      <formula1>$Z$3:$Z$14</formula1>
    </dataValidation>
    <dataValidation type="list" allowBlank="1" showInputMessage="1" showErrorMessage="1" sqref="B2" xr:uid="{00000000-0002-0000-0200-000001000000}">
      <formula1>$AA$3:$AA$20</formula1>
    </dataValidation>
  </dataValidations>
  <pageMargins left="0.75" right="0.75" top="1" bottom="1" header="0.5" footer="0.5"/>
  <pageSetup orientation="portrait" r:id="rId1"/>
  <headerFooter alignWithMargins="0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35</v>
      </c>
      <c r="T2" s="7" t="s">
        <v>36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</f>
        <v>77497.984899999996</v>
      </c>
      <c r="E3" s="13">
        <f>Reference!C1</f>
        <v>40.8005</v>
      </c>
      <c r="F3" s="13">
        <f>Reference!D1</f>
        <v>49.129199999999997</v>
      </c>
      <c r="G3" s="13">
        <f>Reference!E1</f>
        <v>47.6556</v>
      </c>
      <c r="H3" s="13">
        <f>Reference!F1</f>
        <v>89907.726999999999</v>
      </c>
      <c r="I3" s="13">
        <f>Reference!G1</f>
        <v>25.446000000000002</v>
      </c>
      <c r="J3" s="14">
        <f>H3/3600</f>
        <v>24.97436861111111</v>
      </c>
      <c r="L3" s="12">
        <f>Test!B1</f>
        <v>0</v>
      </c>
      <c r="M3" s="13">
        <f>Test!C1</f>
        <v>0</v>
      </c>
      <c r="N3" s="13">
        <f>Test!D1</f>
        <v>0</v>
      </c>
      <c r="O3" s="13">
        <f>Test!E1</f>
        <v>0</v>
      </c>
      <c r="P3" s="13">
        <f>Test!F1</f>
        <v>0</v>
      </c>
      <c r="Q3" s="13">
        <f>Test!G1</f>
        <v>0</v>
      </c>
      <c r="R3" s="13">
        <f>P3/3600</f>
        <v>0</v>
      </c>
      <c r="S3" s="12">
        <f>P3/H3</f>
        <v>0</v>
      </c>
      <c r="T3" s="13">
        <f>Q3/I3</f>
        <v>0</v>
      </c>
      <c r="U3" s="90"/>
      <c r="V3" s="42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</f>
        <v>41825.124300000003</v>
      </c>
      <c r="E4" s="18">
        <f>Reference!C2</f>
        <v>40.149900000000002</v>
      </c>
      <c r="F4" s="18">
        <f>Reference!D2</f>
        <v>48.338000000000001</v>
      </c>
      <c r="G4" s="18">
        <f>Reference!E2</f>
        <v>46.536099999999998</v>
      </c>
      <c r="H4" s="18">
        <f>Reference!F2</f>
        <v>49343.309000000001</v>
      </c>
      <c r="I4" s="18">
        <f>Reference!G2</f>
        <v>23.201000000000001</v>
      </c>
      <c r="J4" s="19">
        <f t="shared" ref="J4:J14" si="0">H4/3600</f>
        <v>13.706474722222223</v>
      </c>
      <c r="L4" s="17">
        <f>Test!B2</f>
        <v>0</v>
      </c>
      <c r="M4" s="18">
        <f>Test!C2</f>
        <v>0</v>
      </c>
      <c r="N4" s="18">
        <f>Test!D2</f>
        <v>0</v>
      </c>
      <c r="O4" s="18">
        <f>Test!E2</f>
        <v>0</v>
      </c>
      <c r="P4" s="18">
        <f>Test!F2</f>
        <v>0</v>
      </c>
      <c r="Q4" s="18">
        <f>Test!G2</f>
        <v>0</v>
      </c>
      <c r="R4" s="18">
        <f t="shared" ref="R4:R14" si="1">P4/3600</f>
        <v>0</v>
      </c>
      <c r="S4" s="17">
        <f t="shared" ref="S4:T14" si="2">P4/H4</f>
        <v>0</v>
      </c>
      <c r="T4" s="18">
        <f t="shared" si="2"/>
        <v>0</v>
      </c>
      <c r="U4" s="91"/>
      <c r="V4" s="25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Reference!B3</f>
        <v>25032.570800000001</v>
      </c>
      <c r="E5" s="18">
        <f>Reference!C3</f>
        <v>39.418100000000003</v>
      </c>
      <c r="F5" s="18">
        <f>Reference!D3</f>
        <v>47.363900000000001</v>
      </c>
      <c r="G5" s="18">
        <f>Reference!E3</f>
        <v>45.252200000000002</v>
      </c>
      <c r="H5" s="18">
        <f>Reference!F3</f>
        <v>30045.103999999999</v>
      </c>
      <c r="I5" s="18">
        <f>Reference!G3</f>
        <v>22.334</v>
      </c>
      <c r="J5" s="19">
        <f t="shared" si="0"/>
        <v>8.3458622222222214</v>
      </c>
      <c r="L5" s="17">
        <f>Test!B3</f>
        <v>0</v>
      </c>
      <c r="M5" s="18">
        <f>Test!C3</f>
        <v>0</v>
      </c>
      <c r="N5" s="18">
        <f>Test!D3</f>
        <v>0</v>
      </c>
      <c r="O5" s="18">
        <f>Test!E3</f>
        <v>0</v>
      </c>
      <c r="P5" s="18">
        <f>Test!F3</f>
        <v>0</v>
      </c>
      <c r="Q5" s="18">
        <f>Test!G3</f>
        <v>0</v>
      </c>
      <c r="R5" s="18">
        <f t="shared" si="1"/>
        <v>0</v>
      </c>
      <c r="S5" s="17">
        <f t="shared" si="2"/>
        <v>0</v>
      </c>
      <c r="T5" s="18">
        <f t="shared" si="2"/>
        <v>0</v>
      </c>
      <c r="U5" s="91"/>
      <c r="V5" s="25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Reference!B4</f>
        <v>14265.6389</v>
      </c>
      <c r="E6" s="23">
        <f>Reference!C4</f>
        <v>38.194800000000001</v>
      </c>
      <c r="F6" s="23">
        <f>Reference!D4</f>
        <v>45.863999999999997</v>
      </c>
      <c r="G6" s="23">
        <f>Reference!E4</f>
        <v>43.448500000000003</v>
      </c>
      <c r="H6" s="23">
        <f>Reference!F4</f>
        <v>16253.178</v>
      </c>
      <c r="I6" s="23">
        <f>Reference!G4</f>
        <v>20.765999999999998</v>
      </c>
      <c r="J6" s="24">
        <f t="shared" si="0"/>
        <v>4.5147716666666664</v>
      </c>
      <c r="L6" s="22">
        <f>Test!B4</f>
        <v>0</v>
      </c>
      <c r="M6" s="23">
        <f>Test!C4</f>
        <v>0</v>
      </c>
      <c r="N6" s="23">
        <f>Test!D4</f>
        <v>0</v>
      </c>
      <c r="O6" s="23">
        <f>Test!E4</f>
        <v>0</v>
      </c>
      <c r="P6" s="23">
        <f>Test!F4</f>
        <v>0</v>
      </c>
      <c r="Q6" s="23">
        <f>Test!G4</f>
        <v>0</v>
      </c>
      <c r="R6" s="23">
        <f t="shared" si="1"/>
        <v>0</v>
      </c>
      <c r="S6" s="17">
        <f t="shared" si="2"/>
        <v>0</v>
      </c>
      <c r="T6" s="18">
        <f t="shared" si="2"/>
        <v>0</v>
      </c>
      <c r="U6" s="91"/>
      <c r="V6" s="51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Reference!B5</f>
        <v>327906.1053</v>
      </c>
      <c r="E7" s="13">
        <f>Reference!C5</f>
        <v>44.643799999999999</v>
      </c>
      <c r="F7" s="13">
        <f>Reference!D5</f>
        <v>38.883200000000002</v>
      </c>
      <c r="G7" s="13">
        <f>Reference!E5</f>
        <v>39.506700000000002</v>
      </c>
      <c r="H7" s="13">
        <f>Reference!F5</f>
        <v>143875.06200000001</v>
      </c>
      <c r="I7" s="13">
        <f>Reference!G5</f>
        <v>39.811</v>
      </c>
      <c r="J7" s="14">
        <f t="shared" si="0"/>
        <v>39.965295000000005</v>
      </c>
      <c r="L7" s="12">
        <f>Test!B5</f>
        <v>0</v>
      </c>
      <c r="M7" s="13">
        <f>Test!C5</f>
        <v>0</v>
      </c>
      <c r="N7" s="13">
        <f>Test!D5</f>
        <v>0</v>
      </c>
      <c r="O7" s="13">
        <f>Test!E5</f>
        <v>0</v>
      </c>
      <c r="P7" s="13">
        <f>Test!F5</f>
        <v>0</v>
      </c>
      <c r="Q7" s="13">
        <f>Test!G5</f>
        <v>0</v>
      </c>
      <c r="R7" s="13">
        <f t="shared" si="1"/>
        <v>0</v>
      </c>
      <c r="S7" s="17">
        <f t="shared" si="2"/>
        <v>0</v>
      </c>
      <c r="T7" s="18">
        <f t="shared" si="2"/>
        <v>0</v>
      </c>
      <c r="U7" s="91"/>
      <c r="V7" s="42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Reference!B6</f>
        <v>209113.2421</v>
      </c>
      <c r="E8" s="18">
        <f>Reference!C6</f>
        <v>41.878500000000003</v>
      </c>
      <c r="F8" s="18">
        <f>Reference!D6</f>
        <v>36.3035</v>
      </c>
      <c r="G8" s="18">
        <f>Reference!E6</f>
        <v>37.206299999999999</v>
      </c>
      <c r="H8" s="18">
        <f>Reference!F6</f>
        <v>113059.859</v>
      </c>
      <c r="I8" s="18">
        <f>Reference!G6</f>
        <v>34.274000000000001</v>
      </c>
      <c r="J8" s="19">
        <f t="shared" si="0"/>
        <v>31.405516388888888</v>
      </c>
      <c r="L8" s="17">
        <f>Test!B6</f>
        <v>0</v>
      </c>
      <c r="M8" s="18">
        <f>Test!C6</f>
        <v>0</v>
      </c>
      <c r="N8" s="18">
        <f>Test!D6</f>
        <v>0</v>
      </c>
      <c r="O8" s="18">
        <f>Test!E6</f>
        <v>0</v>
      </c>
      <c r="P8" s="18">
        <f>Test!F6</f>
        <v>0</v>
      </c>
      <c r="Q8" s="18">
        <f>Test!G6</f>
        <v>0</v>
      </c>
      <c r="R8" s="18">
        <f t="shared" si="1"/>
        <v>0</v>
      </c>
      <c r="S8" s="17">
        <f t="shared" si="2"/>
        <v>0</v>
      </c>
      <c r="T8" s="18">
        <f t="shared" si="2"/>
        <v>0</v>
      </c>
      <c r="U8" s="91"/>
      <c r="V8" s="25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</f>
        <v>119373.3368</v>
      </c>
      <c r="E9" s="18">
        <f>Reference!C7</f>
        <v>38.631799999999998</v>
      </c>
      <c r="F9" s="18">
        <f>Reference!D7</f>
        <v>34.012099999999997</v>
      </c>
      <c r="G9" s="18">
        <f>Reference!E7</f>
        <v>35.131900000000002</v>
      </c>
      <c r="H9" s="18">
        <f>Reference!F7</f>
        <v>81175.164000000004</v>
      </c>
      <c r="I9" s="18">
        <f>Reference!G7</f>
        <v>29.57</v>
      </c>
      <c r="J9" s="19">
        <f t="shared" si="0"/>
        <v>22.548656666666666</v>
      </c>
      <c r="L9" s="17">
        <f>Test!B7</f>
        <v>0</v>
      </c>
      <c r="M9" s="18">
        <f>Test!C7</f>
        <v>0</v>
      </c>
      <c r="N9" s="18">
        <f>Test!D7</f>
        <v>0</v>
      </c>
      <c r="O9" s="18">
        <f>Test!E7</f>
        <v>0</v>
      </c>
      <c r="P9" s="18">
        <f>Test!F7</f>
        <v>0</v>
      </c>
      <c r="Q9" s="18">
        <f>Test!G7</f>
        <v>0</v>
      </c>
      <c r="R9" s="18">
        <f t="shared" si="1"/>
        <v>0</v>
      </c>
      <c r="S9" s="17">
        <f t="shared" si="2"/>
        <v>0</v>
      </c>
      <c r="T9" s="18">
        <f t="shared" si="2"/>
        <v>0</v>
      </c>
      <c r="U9" s="91"/>
      <c r="V9" s="25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</f>
        <v>56000.463199999998</v>
      </c>
      <c r="E10" s="23">
        <f>Reference!C8</f>
        <v>35.179099999999998</v>
      </c>
      <c r="F10" s="23">
        <f>Reference!D8</f>
        <v>31.644600000000001</v>
      </c>
      <c r="G10" s="23">
        <f>Reference!E8</f>
        <v>33.087899999999998</v>
      </c>
      <c r="H10" s="23">
        <f>Reference!F8</f>
        <v>53017.065999999999</v>
      </c>
      <c r="I10" s="23">
        <f>Reference!G8</f>
        <v>24.632999999999999</v>
      </c>
      <c r="J10" s="24">
        <f t="shared" si="0"/>
        <v>14.726962777777777</v>
      </c>
      <c r="L10" s="22">
        <f>Test!B8</f>
        <v>0</v>
      </c>
      <c r="M10" s="23">
        <f>Test!C8</f>
        <v>0</v>
      </c>
      <c r="N10" s="23">
        <f>Test!D8</f>
        <v>0</v>
      </c>
      <c r="O10" s="23">
        <f>Test!E8</f>
        <v>0</v>
      </c>
      <c r="P10" s="23">
        <f>Test!F8</f>
        <v>0</v>
      </c>
      <c r="Q10" s="23">
        <f>Test!G8</f>
        <v>0</v>
      </c>
      <c r="R10" s="23">
        <f t="shared" si="1"/>
        <v>0</v>
      </c>
      <c r="S10" s="17">
        <f t="shared" si="2"/>
        <v>0</v>
      </c>
      <c r="T10" s="18">
        <f t="shared" si="2"/>
        <v>0</v>
      </c>
      <c r="U10" s="91"/>
      <c r="V10" s="51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Reference!B9</f>
        <v>125646.1958</v>
      </c>
      <c r="E11" s="13">
        <f>Reference!C9</f>
        <v>41.547699999999999</v>
      </c>
      <c r="F11" s="13">
        <f>Reference!D9</f>
        <v>43.826599999999999</v>
      </c>
      <c r="G11" s="13">
        <f>Reference!E9</f>
        <v>42.737299999999998</v>
      </c>
      <c r="H11" s="13">
        <f>Reference!F9</f>
        <v>145508.06200000001</v>
      </c>
      <c r="I11" s="13">
        <f>Reference!G9</f>
        <v>32.652999999999999</v>
      </c>
      <c r="J11" s="14">
        <f t="shared" si="0"/>
        <v>40.418906111111113</v>
      </c>
      <c r="L11" s="12">
        <f>Test!B9</f>
        <v>0</v>
      </c>
      <c r="M11" s="13">
        <f>Test!C9</f>
        <v>0</v>
      </c>
      <c r="N11" s="13">
        <f>Test!D9</f>
        <v>0</v>
      </c>
      <c r="O11" s="13">
        <f>Test!E9</f>
        <v>0</v>
      </c>
      <c r="P11" s="13">
        <f>Test!F9</f>
        <v>0</v>
      </c>
      <c r="Q11" s="13">
        <f>Test!G9</f>
        <v>0</v>
      </c>
      <c r="R11" s="13">
        <f t="shared" si="1"/>
        <v>0</v>
      </c>
      <c r="S11" s="17">
        <f t="shared" si="2"/>
        <v>0</v>
      </c>
      <c r="T11" s="18">
        <f t="shared" si="2"/>
        <v>0</v>
      </c>
      <c r="U11" s="91"/>
      <c r="V11" s="42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Reference!B10</f>
        <v>56415.568399999996</v>
      </c>
      <c r="E12" s="18">
        <f>Reference!C10</f>
        <v>38.850200000000001</v>
      </c>
      <c r="F12" s="18">
        <f>Reference!D10</f>
        <v>41.226700000000001</v>
      </c>
      <c r="G12" s="18">
        <f>Reference!E10</f>
        <v>41.563899999999997</v>
      </c>
      <c r="H12" s="18">
        <f>Reference!F10</f>
        <v>86335.945000000007</v>
      </c>
      <c r="I12" s="18">
        <f>Reference!G10</f>
        <v>25.387</v>
      </c>
      <c r="J12" s="19">
        <f t="shared" si="0"/>
        <v>23.982206944444446</v>
      </c>
      <c r="L12" s="17">
        <f>Test!B10</f>
        <v>0</v>
      </c>
      <c r="M12" s="18">
        <f>Test!C10</f>
        <v>0</v>
      </c>
      <c r="N12" s="18">
        <f>Test!D10</f>
        <v>0</v>
      </c>
      <c r="O12" s="18">
        <f>Test!E10</f>
        <v>0</v>
      </c>
      <c r="P12" s="18">
        <f>Test!F10</f>
        <v>0</v>
      </c>
      <c r="Q12" s="18">
        <f>Test!G10</f>
        <v>0</v>
      </c>
      <c r="R12" s="18">
        <f t="shared" si="1"/>
        <v>0</v>
      </c>
      <c r="S12" s="17">
        <f t="shared" si="2"/>
        <v>0</v>
      </c>
      <c r="T12" s="18">
        <f t="shared" si="2"/>
        <v>0</v>
      </c>
      <c r="U12" s="91"/>
      <c r="V12" s="25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Reference!B11</f>
        <v>25617</v>
      </c>
      <c r="E13" s="18">
        <f>Reference!C11</f>
        <v>37.287500000000001</v>
      </c>
      <c r="F13" s="18">
        <f>Reference!D11</f>
        <v>38.915599999999998</v>
      </c>
      <c r="G13" s="18">
        <f>Reference!E11</f>
        <v>40.426299999999998</v>
      </c>
      <c r="H13" s="18">
        <f>Reference!F11</f>
        <v>46443.343999999997</v>
      </c>
      <c r="I13" s="18">
        <f>Reference!G11</f>
        <v>21.992000000000001</v>
      </c>
      <c r="J13" s="19">
        <f t="shared" si="0"/>
        <v>12.900928888888888</v>
      </c>
      <c r="L13" s="17">
        <f>Test!B11</f>
        <v>0</v>
      </c>
      <c r="M13" s="18">
        <f>Test!C11</f>
        <v>0</v>
      </c>
      <c r="N13" s="18">
        <f>Test!D11</f>
        <v>0</v>
      </c>
      <c r="O13" s="18">
        <f>Test!E11</f>
        <v>0</v>
      </c>
      <c r="P13" s="18">
        <f>Test!F11</f>
        <v>0</v>
      </c>
      <c r="Q13" s="18">
        <f>Test!G11</f>
        <v>0</v>
      </c>
      <c r="R13" s="18">
        <f t="shared" si="1"/>
        <v>0</v>
      </c>
      <c r="S13" s="17">
        <f t="shared" si="2"/>
        <v>0</v>
      </c>
      <c r="T13" s="18">
        <f t="shared" si="2"/>
        <v>0</v>
      </c>
      <c r="U13" s="91"/>
      <c r="V13" s="25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Reference!B12</f>
        <v>12382.5663</v>
      </c>
      <c r="E14" s="23">
        <f>Reference!C12</f>
        <v>35.897799999999997</v>
      </c>
      <c r="F14" s="23">
        <f>Reference!D12</f>
        <v>36.217399999999998</v>
      </c>
      <c r="G14" s="23">
        <f>Reference!E12</f>
        <v>38.920299999999997</v>
      </c>
      <c r="H14" s="23">
        <f>Reference!F12</f>
        <v>25681.773000000001</v>
      </c>
      <c r="I14" s="23">
        <f>Reference!G12</f>
        <v>19.045000000000002</v>
      </c>
      <c r="J14" s="24">
        <f t="shared" si="0"/>
        <v>7.1338258333333338</v>
      </c>
      <c r="L14" s="22">
        <f>Test!B12</f>
        <v>0</v>
      </c>
      <c r="M14" s="23">
        <f>Test!C12</f>
        <v>0</v>
      </c>
      <c r="N14" s="23">
        <f>Test!D12</f>
        <v>0</v>
      </c>
      <c r="O14" s="23">
        <f>Test!E12</f>
        <v>0</v>
      </c>
      <c r="P14" s="23">
        <f>Test!F12</f>
        <v>0</v>
      </c>
      <c r="Q14" s="23">
        <f>Test!G12</f>
        <v>0</v>
      </c>
      <c r="R14" s="23">
        <f t="shared" si="1"/>
        <v>0</v>
      </c>
      <c r="S14" s="17">
        <f t="shared" si="2"/>
        <v>0</v>
      </c>
      <c r="T14" s="18">
        <f t="shared" si="2"/>
        <v>0</v>
      </c>
      <c r="U14" s="91"/>
      <c r="V14" s="51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Reference!B13</f>
        <v>178954.8884</v>
      </c>
      <c r="E15" s="13">
        <f>Reference!C13</f>
        <v>38.600900000000003</v>
      </c>
      <c r="F15" s="13">
        <f>Reference!D13</f>
        <v>45.480400000000003</v>
      </c>
      <c r="G15" s="13">
        <f>Reference!E13</f>
        <v>43.284500000000001</v>
      </c>
      <c r="H15" s="13">
        <f>Reference!F13</f>
        <v>169806.20300000001</v>
      </c>
      <c r="I15" s="13">
        <f>Reference!G13</f>
        <v>32.095999999999997</v>
      </c>
      <c r="J15" s="14">
        <f>H15/3600</f>
        <v>47.168389722222223</v>
      </c>
      <c r="L15" s="12">
        <f>Test!B13</f>
        <v>0</v>
      </c>
      <c r="M15" s="13">
        <f>Test!C13</f>
        <v>0</v>
      </c>
      <c r="N15" s="13">
        <f>Test!D13</f>
        <v>0</v>
      </c>
      <c r="O15" s="13">
        <f>Test!E13</f>
        <v>0</v>
      </c>
      <c r="P15" s="13">
        <f>Test!F13</f>
        <v>0</v>
      </c>
      <c r="Q15" s="13">
        <f>Test!G13</f>
        <v>0</v>
      </c>
      <c r="R15" s="13">
        <f>P15/3600</f>
        <v>0</v>
      </c>
      <c r="S15" s="17">
        <f>P15/H15</f>
        <v>0</v>
      </c>
      <c r="T15" s="18">
        <f>Q15/I15</f>
        <v>0</v>
      </c>
      <c r="U15" s="91"/>
      <c r="V15" s="42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Reference!B14</f>
        <v>87394.130499999999</v>
      </c>
      <c r="E16" s="18">
        <f>Reference!C14</f>
        <v>37.662100000000002</v>
      </c>
      <c r="F16" s="18">
        <f>Reference!D14</f>
        <v>44.520600000000002</v>
      </c>
      <c r="G16" s="18">
        <f>Reference!E14</f>
        <v>42.122100000000003</v>
      </c>
      <c r="H16" s="18">
        <f>Reference!F14</f>
        <v>96032.702999999994</v>
      </c>
      <c r="I16" s="18">
        <f>Reference!G14</f>
        <v>27.11</v>
      </c>
      <c r="J16" s="19">
        <f t="shared" ref="J16:J26" si="3">H16/3600</f>
        <v>26.675750833333332</v>
      </c>
      <c r="L16" s="17">
        <f>Test!B14</f>
        <v>0</v>
      </c>
      <c r="M16" s="18">
        <f>Test!C14</f>
        <v>0</v>
      </c>
      <c r="N16" s="18">
        <f>Test!D14</f>
        <v>0</v>
      </c>
      <c r="O16" s="18">
        <f>Test!E14</f>
        <v>0</v>
      </c>
      <c r="P16" s="18">
        <f>Test!F14</f>
        <v>0</v>
      </c>
      <c r="Q16" s="18">
        <f>Test!G14</f>
        <v>0</v>
      </c>
      <c r="R16" s="18">
        <f t="shared" ref="R16:R26" si="4">P16/3600</f>
        <v>0</v>
      </c>
      <c r="S16" s="17">
        <f t="shared" ref="S16:S26" si="5">P16/H16</f>
        <v>0</v>
      </c>
      <c r="T16" s="18">
        <f t="shared" ref="T16:T26" si="6">Q16/I16</f>
        <v>0</v>
      </c>
      <c r="U16" s="91"/>
      <c r="V16" s="25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</f>
        <v>50177.178899999999</v>
      </c>
      <c r="E17" s="18">
        <f>Reference!C15</f>
        <v>36.731000000000002</v>
      </c>
      <c r="F17" s="18">
        <f>Reference!D15</f>
        <v>43.464100000000002</v>
      </c>
      <c r="G17" s="18">
        <f>Reference!E15</f>
        <v>40.902900000000002</v>
      </c>
      <c r="H17" s="18">
        <f>Reference!F15</f>
        <v>57478.773000000001</v>
      </c>
      <c r="I17" s="18">
        <f>Reference!G15</f>
        <v>23.495000000000001</v>
      </c>
      <c r="J17" s="19">
        <f t="shared" si="3"/>
        <v>15.966325833333334</v>
      </c>
      <c r="L17" s="17">
        <f>Test!B15</f>
        <v>0</v>
      </c>
      <c r="M17" s="18">
        <f>Test!C15</f>
        <v>0</v>
      </c>
      <c r="N17" s="18">
        <f>Test!D15</f>
        <v>0</v>
      </c>
      <c r="O17" s="18">
        <f>Test!E15</f>
        <v>0</v>
      </c>
      <c r="P17" s="18">
        <f>Test!F15</f>
        <v>0</v>
      </c>
      <c r="Q17" s="18">
        <f>Test!G15</f>
        <v>0</v>
      </c>
      <c r="R17" s="18">
        <f t="shared" si="4"/>
        <v>0</v>
      </c>
      <c r="S17" s="17">
        <f t="shared" si="5"/>
        <v>0</v>
      </c>
      <c r="T17" s="18">
        <f t="shared" si="6"/>
        <v>0</v>
      </c>
      <c r="U17" s="91"/>
      <c r="V17" s="25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</f>
        <v>26433.1705</v>
      </c>
      <c r="E18" s="23">
        <f>Reference!C16</f>
        <v>35.2258</v>
      </c>
      <c r="F18" s="23">
        <f>Reference!D16</f>
        <v>42.01</v>
      </c>
      <c r="G18" s="23">
        <f>Reference!E16</f>
        <v>39.510899999999999</v>
      </c>
      <c r="H18" s="23">
        <f>Reference!F16</f>
        <v>33985.370999999999</v>
      </c>
      <c r="I18" s="23">
        <f>Reference!G16</f>
        <v>20.997</v>
      </c>
      <c r="J18" s="24">
        <f t="shared" si="3"/>
        <v>9.4403808333333323</v>
      </c>
      <c r="L18" s="22">
        <f>Test!B16</f>
        <v>0</v>
      </c>
      <c r="M18" s="23">
        <f>Test!C16</f>
        <v>0</v>
      </c>
      <c r="N18" s="23">
        <f>Test!D16</f>
        <v>0</v>
      </c>
      <c r="O18" s="23">
        <f>Test!E16</f>
        <v>0</v>
      </c>
      <c r="P18" s="23">
        <f>Test!F16</f>
        <v>0</v>
      </c>
      <c r="Q18" s="23">
        <f>Test!G16</f>
        <v>0</v>
      </c>
      <c r="R18" s="23">
        <f t="shared" si="4"/>
        <v>0</v>
      </c>
      <c r="S18" s="17">
        <f t="shared" si="5"/>
        <v>0</v>
      </c>
      <c r="T18" s="18">
        <f t="shared" si="6"/>
        <v>0</v>
      </c>
      <c r="U18" s="91"/>
      <c r="V18" s="51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Reference!B17</f>
        <v>68243.104800000001</v>
      </c>
      <c r="E19" s="13">
        <f>Reference!C17</f>
        <v>39.5443</v>
      </c>
      <c r="F19" s="13">
        <f>Reference!D17</f>
        <v>40.376399999999997</v>
      </c>
      <c r="G19" s="13">
        <f>Reference!E17</f>
        <v>43.282200000000003</v>
      </c>
      <c r="H19" s="13">
        <f>Reference!F17</f>
        <v>84921.57</v>
      </c>
      <c r="I19" s="13">
        <f>Reference!G17</f>
        <v>16.600999999999999</v>
      </c>
      <c r="J19" s="14">
        <f t="shared" si="3"/>
        <v>23.589325000000002</v>
      </c>
      <c r="L19" s="12">
        <f>Test!B17</f>
        <v>0</v>
      </c>
      <c r="M19" s="13">
        <f>Test!C17</f>
        <v>0</v>
      </c>
      <c r="N19" s="13">
        <f>Test!D17</f>
        <v>0</v>
      </c>
      <c r="O19" s="13">
        <f>Test!E17</f>
        <v>0</v>
      </c>
      <c r="P19" s="13">
        <f>Test!F17</f>
        <v>0</v>
      </c>
      <c r="Q19" s="13">
        <f>Test!G17</f>
        <v>0</v>
      </c>
      <c r="R19" s="13">
        <f t="shared" si="4"/>
        <v>0</v>
      </c>
      <c r="S19" s="12">
        <f t="shared" si="5"/>
        <v>0</v>
      </c>
      <c r="T19" s="13">
        <f t="shared" si="6"/>
        <v>0</v>
      </c>
      <c r="U19" s="90"/>
      <c r="V19" s="42" t="e">
        <f>bdrate($D19:$D22,E19:E22,$L19:$L22,M19:M22)</f>
        <v>#VALUE!</v>
      </c>
      <c r="W19" s="42" t="e">
        <f>bdrate($D19:$D22,F19:F22,$L19:$L22,N19:N22)</f>
        <v>#VALUE!</v>
      </c>
      <c r="X19" s="42" t="e">
        <f>bdrate($D19:$D22,G19:G22,$L19:$L22,O19:O22)</f>
        <v>#VALUE!</v>
      </c>
      <c r="Y19" s="40" t="e">
        <f>bdrateOld($D19:$D22,E19:E22,$L19:$L22,M19:M22)</f>
        <v>#VALUE!</v>
      </c>
      <c r="Z19" s="44" t="e">
        <f>bdrateOld($D19:$D22,F19:F22,$L19:$L22,N19:N22)</f>
        <v>#VALUE!</v>
      </c>
      <c r="AA19" s="45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Reference!B18</f>
        <v>40723.352400000003</v>
      </c>
      <c r="E20" s="18">
        <f>Reference!C18</f>
        <v>37.901800000000001</v>
      </c>
      <c r="F20" s="18">
        <f>Reference!D18</f>
        <v>39.331499999999998</v>
      </c>
      <c r="G20" s="18">
        <f>Reference!E18</f>
        <v>41.799199999999999</v>
      </c>
      <c r="H20" s="18">
        <f>Reference!F18</f>
        <v>56751.737999999998</v>
      </c>
      <c r="I20" s="18">
        <f>Reference!G18</f>
        <v>13.68</v>
      </c>
      <c r="J20" s="19">
        <f t="shared" si="3"/>
        <v>15.764371666666666</v>
      </c>
      <c r="L20" s="17">
        <f>Test!B18</f>
        <v>0</v>
      </c>
      <c r="M20" s="18">
        <f>Test!C18</f>
        <v>0</v>
      </c>
      <c r="N20" s="18">
        <f>Test!D18</f>
        <v>0</v>
      </c>
      <c r="O20" s="18">
        <f>Test!E18</f>
        <v>0</v>
      </c>
      <c r="P20" s="18">
        <f>Test!F18</f>
        <v>0</v>
      </c>
      <c r="Q20" s="18">
        <f>Test!G18</f>
        <v>0</v>
      </c>
      <c r="R20" s="18">
        <f t="shared" si="4"/>
        <v>0</v>
      </c>
      <c r="S20" s="17">
        <f t="shared" si="5"/>
        <v>0</v>
      </c>
      <c r="T20" s="18">
        <f t="shared" si="6"/>
        <v>0</v>
      </c>
      <c r="U20" s="91"/>
      <c r="V20" s="25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Reference!B19</f>
        <v>23427.676200000002</v>
      </c>
      <c r="E21" s="18">
        <f>Reference!C19</f>
        <v>35.976500000000001</v>
      </c>
      <c r="F21" s="18">
        <f>Reference!D19</f>
        <v>38.403700000000001</v>
      </c>
      <c r="G21" s="18">
        <f>Reference!E19</f>
        <v>40.352200000000003</v>
      </c>
      <c r="H21" s="18">
        <f>Reference!F19</f>
        <v>37686.805</v>
      </c>
      <c r="I21" s="18">
        <f>Reference!G19</f>
        <v>11.679</v>
      </c>
      <c r="J21" s="19">
        <f t="shared" si="3"/>
        <v>10.468556944444444</v>
      </c>
      <c r="L21" s="17">
        <f>Test!B19</f>
        <v>0</v>
      </c>
      <c r="M21" s="18">
        <f>Test!C19</f>
        <v>0</v>
      </c>
      <c r="N21" s="18">
        <f>Test!D19</f>
        <v>0</v>
      </c>
      <c r="O21" s="18">
        <f>Test!E19</f>
        <v>0</v>
      </c>
      <c r="P21" s="18">
        <f>Test!F19</f>
        <v>0</v>
      </c>
      <c r="Q21" s="18">
        <f>Test!G19</f>
        <v>0</v>
      </c>
      <c r="R21" s="18">
        <f t="shared" si="4"/>
        <v>0</v>
      </c>
      <c r="S21" s="17">
        <f t="shared" si="5"/>
        <v>0</v>
      </c>
      <c r="T21" s="18">
        <f t="shared" si="6"/>
        <v>0</v>
      </c>
      <c r="U21" s="91"/>
      <c r="V21" s="25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Reference!B20</f>
        <v>11941.644399999999</v>
      </c>
      <c r="E22" s="23">
        <f>Reference!C20</f>
        <v>33.501899999999999</v>
      </c>
      <c r="F22" s="23">
        <f>Reference!D20</f>
        <v>37.166899999999998</v>
      </c>
      <c r="G22" s="23">
        <f>Reference!E20</f>
        <v>38.611499999999999</v>
      </c>
      <c r="H22" s="23">
        <f>Reference!F20</f>
        <v>23474.697</v>
      </c>
      <c r="I22" s="23">
        <f>Reference!G20</f>
        <v>10.048</v>
      </c>
      <c r="J22" s="24">
        <f t="shared" si="3"/>
        <v>6.5207491666666666</v>
      </c>
      <c r="L22" s="22">
        <f>Test!B20</f>
        <v>0</v>
      </c>
      <c r="M22" s="23">
        <f>Test!C20</f>
        <v>0</v>
      </c>
      <c r="N22" s="23">
        <f>Test!D20</f>
        <v>0</v>
      </c>
      <c r="O22" s="23">
        <f>Test!E20</f>
        <v>0</v>
      </c>
      <c r="P22" s="23">
        <f>Test!F20</f>
        <v>0</v>
      </c>
      <c r="Q22" s="23">
        <f>Test!G20</f>
        <v>0</v>
      </c>
      <c r="R22" s="23">
        <f t="shared" si="4"/>
        <v>0</v>
      </c>
      <c r="S22" s="17">
        <f t="shared" si="5"/>
        <v>0</v>
      </c>
      <c r="T22" s="18">
        <f t="shared" si="6"/>
        <v>0</v>
      </c>
      <c r="U22" s="91"/>
      <c r="V22" s="51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Reference!B21</f>
        <v>42998.7111</v>
      </c>
      <c r="E23" s="13">
        <f>Reference!C21</f>
        <v>40.1858</v>
      </c>
      <c r="F23" s="13">
        <f>Reference!D21</f>
        <v>44.069800000000001</v>
      </c>
      <c r="G23" s="13">
        <f>Reference!E21</f>
        <v>45.479399999999998</v>
      </c>
      <c r="H23" s="13">
        <f>Reference!F21</f>
        <v>64224.675999999999</v>
      </c>
      <c r="I23" s="13">
        <f>Reference!G21</f>
        <v>13.679</v>
      </c>
      <c r="J23" s="14">
        <f t="shared" si="3"/>
        <v>17.840187777777778</v>
      </c>
      <c r="L23" s="12">
        <f>Test!B21</f>
        <v>0</v>
      </c>
      <c r="M23" s="13">
        <f>Test!C21</f>
        <v>0</v>
      </c>
      <c r="N23" s="13">
        <f>Test!D21</f>
        <v>0</v>
      </c>
      <c r="O23" s="13">
        <f>Test!E21</f>
        <v>0</v>
      </c>
      <c r="P23" s="13">
        <f>Test!F21</f>
        <v>0</v>
      </c>
      <c r="Q23" s="13">
        <f>Test!G21</f>
        <v>0</v>
      </c>
      <c r="R23" s="13">
        <f t="shared" si="4"/>
        <v>0</v>
      </c>
      <c r="S23" s="17">
        <f t="shared" si="5"/>
        <v>0</v>
      </c>
      <c r="T23" s="18">
        <f t="shared" si="6"/>
        <v>0</v>
      </c>
      <c r="U23" s="91"/>
      <c r="V23" s="42" t="e">
        <f>bdrate($D23:$D26,E23:E26,$L23:$L26,M23:M26)</f>
        <v>#VALUE!</v>
      </c>
      <c r="W23" s="42" t="e">
        <f>bdrate($D23:$D26,F23:F26,$L23:$L26,N23:N26)</f>
        <v>#VALUE!</v>
      </c>
      <c r="X23" s="42" t="e">
        <f>bdrate($D23:$D26,G23:G26,$L23:$L26,O23:O26)</f>
        <v>#VALUE!</v>
      </c>
      <c r="Y23" s="40" t="e">
        <f>bdrateOld($D23:$D26,E23:E26,$L23:$L26,M23:M26)</f>
        <v>#VALUE!</v>
      </c>
      <c r="Z23" s="44" t="e">
        <f>bdrateOld($D23:$D26,F23:F26,$L23:$L26,N23:N26)</f>
        <v>#VALUE!</v>
      </c>
      <c r="AA23" s="45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Reference!B22</f>
        <v>23403.2127</v>
      </c>
      <c r="E24" s="18">
        <f>Reference!C22</f>
        <v>38.706299999999999</v>
      </c>
      <c r="F24" s="18">
        <f>Reference!D22</f>
        <v>43.029899999999998</v>
      </c>
      <c r="G24" s="18">
        <f>Reference!E22</f>
        <v>43.958799999999997</v>
      </c>
      <c r="H24" s="18">
        <f>Reference!F22</f>
        <v>41351.406000000003</v>
      </c>
      <c r="I24" s="18">
        <f>Reference!G22</f>
        <v>11.756</v>
      </c>
      <c r="J24" s="19">
        <f t="shared" si="3"/>
        <v>11.486501666666667</v>
      </c>
      <c r="L24" s="17">
        <f>Test!B22</f>
        <v>0</v>
      </c>
      <c r="M24" s="18">
        <f>Test!C22</f>
        <v>0</v>
      </c>
      <c r="N24" s="18">
        <f>Test!D22</f>
        <v>0</v>
      </c>
      <c r="O24" s="18">
        <f>Test!E22</f>
        <v>0</v>
      </c>
      <c r="P24" s="18">
        <f>Test!F22</f>
        <v>0</v>
      </c>
      <c r="Q24" s="18">
        <f>Test!G22</f>
        <v>0</v>
      </c>
      <c r="R24" s="18">
        <f t="shared" si="4"/>
        <v>0</v>
      </c>
      <c r="S24" s="17">
        <f t="shared" si="5"/>
        <v>0</v>
      </c>
      <c r="T24" s="18">
        <f t="shared" si="6"/>
        <v>0</v>
      </c>
      <c r="U24" s="91"/>
      <c r="V24" s="25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</f>
        <v>13142.7556</v>
      </c>
      <c r="E25" s="18">
        <f>Reference!C23</f>
        <v>37.247100000000003</v>
      </c>
      <c r="F25" s="18">
        <f>Reference!D23</f>
        <v>41.877899999999997</v>
      </c>
      <c r="G25" s="18">
        <f>Reference!E23</f>
        <v>42.365000000000002</v>
      </c>
      <c r="H25" s="18">
        <f>Reference!F23</f>
        <v>26212.976999999999</v>
      </c>
      <c r="I25" s="18">
        <f>Reference!G23</f>
        <v>10.481</v>
      </c>
      <c r="J25" s="19">
        <f t="shared" si="3"/>
        <v>7.2813824999999994</v>
      </c>
      <c r="L25" s="17">
        <f>Test!B23</f>
        <v>0</v>
      </c>
      <c r="M25" s="18">
        <f>Test!C23</f>
        <v>0</v>
      </c>
      <c r="N25" s="18">
        <f>Test!D23</f>
        <v>0</v>
      </c>
      <c r="O25" s="18">
        <f>Test!E23</f>
        <v>0</v>
      </c>
      <c r="P25" s="18">
        <f>Test!F23</f>
        <v>0</v>
      </c>
      <c r="Q25" s="18">
        <f>Test!G23</f>
        <v>0</v>
      </c>
      <c r="R25" s="18">
        <f t="shared" si="4"/>
        <v>0</v>
      </c>
      <c r="S25" s="17">
        <f t="shared" si="5"/>
        <v>0</v>
      </c>
      <c r="T25" s="18">
        <f t="shared" si="6"/>
        <v>0</v>
      </c>
      <c r="U25" s="91"/>
      <c r="V25" s="25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</f>
        <v>7014.4825000000001</v>
      </c>
      <c r="E26" s="23">
        <f>Reference!C24</f>
        <v>35.314500000000002</v>
      </c>
      <c r="F26" s="23">
        <f>Reference!D24</f>
        <v>40.353499999999997</v>
      </c>
      <c r="G26" s="23">
        <f>Reference!E24</f>
        <v>40.3825</v>
      </c>
      <c r="H26" s="23">
        <f>Reference!F24</f>
        <v>15783.68</v>
      </c>
      <c r="I26" s="23">
        <f>Reference!G24</f>
        <v>9.3789999999999996</v>
      </c>
      <c r="J26" s="24">
        <f t="shared" si="3"/>
        <v>4.3843555555555556</v>
      </c>
      <c r="L26" s="22">
        <f>Test!B24</f>
        <v>0</v>
      </c>
      <c r="M26" s="23">
        <f>Test!C24</f>
        <v>0</v>
      </c>
      <c r="N26" s="23">
        <f>Test!D24</f>
        <v>0</v>
      </c>
      <c r="O26" s="23">
        <f>Test!E24</f>
        <v>0</v>
      </c>
      <c r="P26" s="23">
        <f>Test!F24</f>
        <v>0</v>
      </c>
      <c r="Q26" s="23">
        <f>Test!G24</f>
        <v>0</v>
      </c>
      <c r="R26" s="23">
        <f t="shared" si="4"/>
        <v>0</v>
      </c>
      <c r="S26" s="17">
        <f t="shared" si="5"/>
        <v>0</v>
      </c>
      <c r="T26" s="18">
        <f t="shared" si="6"/>
        <v>0</v>
      </c>
      <c r="U26" s="91"/>
      <c r="V26" s="51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Reference!B25</f>
        <v>65111.648000000001</v>
      </c>
      <c r="E27" s="13">
        <f>Reference!C25</f>
        <v>41.688299999999998</v>
      </c>
      <c r="F27" s="13">
        <f>Reference!D25</f>
        <v>44.173999999999999</v>
      </c>
      <c r="G27" s="13">
        <f>Reference!E25</f>
        <v>44.928199999999997</v>
      </c>
      <c r="H27" s="13">
        <f>Reference!F25</f>
        <v>72011.804999999993</v>
      </c>
      <c r="I27" s="13">
        <f>Reference!G25</f>
        <v>17.972999999999999</v>
      </c>
      <c r="J27" s="14">
        <f>H27/3600</f>
        <v>20.003279166666665</v>
      </c>
      <c r="L27" s="12">
        <f>Test!B25</f>
        <v>0</v>
      </c>
      <c r="M27" s="13">
        <f>Test!C25</f>
        <v>0</v>
      </c>
      <c r="N27" s="13">
        <f>Test!D25</f>
        <v>0</v>
      </c>
      <c r="O27" s="13">
        <f>Test!E25</f>
        <v>0</v>
      </c>
      <c r="P27" s="13">
        <f>Test!F25</f>
        <v>0</v>
      </c>
      <c r="Q27" s="13">
        <f>Test!G25</f>
        <v>0</v>
      </c>
      <c r="R27" s="13">
        <f>P27/3600</f>
        <v>0</v>
      </c>
      <c r="S27" s="17">
        <f>P27/H27</f>
        <v>0</v>
      </c>
      <c r="T27" s="18">
        <f>Q27/I27</f>
        <v>0</v>
      </c>
      <c r="U27" s="91"/>
      <c r="V27" s="42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Reference!B26</f>
        <v>41955.462399999997</v>
      </c>
      <c r="E28" s="18">
        <f>Reference!C26</f>
        <v>39.8904</v>
      </c>
      <c r="F28" s="18">
        <f>Reference!D26</f>
        <v>42.6511</v>
      </c>
      <c r="G28" s="18">
        <f>Reference!E26</f>
        <v>43.607799999999997</v>
      </c>
      <c r="H28" s="18">
        <f>Reference!F26</f>
        <v>51931.593999999997</v>
      </c>
      <c r="I28" s="18">
        <f>Reference!G26</f>
        <v>15.292999999999999</v>
      </c>
      <c r="J28" s="19">
        <f t="shared" ref="J28:J46" si="7">H28/3600</f>
        <v>14.425442777777777</v>
      </c>
      <c r="L28" s="17">
        <f>Test!B26</f>
        <v>0</v>
      </c>
      <c r="M28" s="18">
        <f>Test!C26</f>
        <v>0</v>
      </c>
      <c r="N28" s="18">
        <f>Test!D26</f>
        <v>0</v>
      </c>
      <c r="O28" s="18">
        <f>Test!E26</f>
        <v>0</v>
      </c>
      <c r="P28" s="18">
        <f>Test!F26</f>
        <v>0</v>
      </c>
      <c r="Q28" s="18">
        <f>Test!G26</f>
        <v>0</v>
      </c>
      <c r="R28" s="18">
        <f t="shared" ref="R28:R46" si="8">P28/3600</f>
        <v>0</v>
      </c>
      <c r="S28" s="17">
        <f t="shared" ref="S28:S46" si="9">P28/H28</f>
        <v>0</v>
      </c>
      <c r="T28" s="18">
        <f t="shared" ref="T28:T46" si="10">Q28/I28</f>
        <v>0</v>
      </c>
      <c r="U28" s="91"/>
      <c r="V28" s="25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Reference!B27</f>
        <v>24654.604800000001</v>
      </c>
      <c r="E29" s="18">
        <f>Reference!C27</f>
        <v>37.674399999999999</v>
      </c>
      <c r="F29" s="18">
        <f>Reference!D27</f>
        <v>41.263500000000001</v>
      </c>
      <c r="G29" s="18">
        <f>Reference!E27</f>
        <v>42.248800000000003</v>
      </c>
      <c r="H29" s="18">
        <f>Reference!F27</f>
        <v>35295.644999999997</v>
      </c>
      <c r="I29" s="18">
        <f>Reference!G27</f>
        <v>13.411</v>
      </c>
      <c r="J29" s="19">
        <f t="shared" si="7"/>
        <v>9.8043458333333326</v>
      </c>
      <c r="L29" s="17">
        <f>Test!B27</f>
        <v>0</v>
      </c>
      <c r="M29" s="18">
        <f>Test!C27</f>
        <v>0</v>
      </c>
      <c r="N29" s="18">
        <f>Test!D27</f>
        <v>0</v>
      </c>
      <c r="O29" s="18">
        <f>Test!E27</f>
        <v>0</v>
      </c>
      <c r="P29" s="18">
        <f>Test!F27</f>
        <v>0</v>
      </c>
      <c r="Q29" s="18">
        <f>Test!G27</f>
        <v>0</v>
      </c>
      <c r="R29" s="18">
        <f t="shared" si="8"/>
        <v>0</v>
      </c>
      <c r="S29" s="17">
        <f t="shared" si="9"/>
        <v>0</v>
      </c>
      <c r="T29" s="18">
        <f t="shared" si="10"/>
        <v>0</v>
      </c>
      <c r="U29" s="91"/>
      <c r="V29" s="25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Reference!B28</f>
        <v>12459.2768</v>
      </c>
      <c r="E30" s="23">
        <f>Reference!C28</f>
        <v>34.997199999999999</v>
      </c>
      <c r="F30" s="23">
        <f>Reference!D28</f>
        <v>39.688800000000001</v>
      </c>
      <c r="G30" s="23">
        <f>Reference!E28</f>
        <v>40.598300000000002</v>
      </c>
      <c r="H30" s="23">
        <f>Reference!F28</f>
        <v>21661.611000000001</v>
      </c>
      <c r="I30" s="23">
        <f>Reference!G28</f>
        <v>11.742000000000001</v>
      </c>
      <c r="J30" s="24">
        <f t="shared" si="7"/>
        <v>6.0171141666666665</v>
      </c>
      <c r="L30" s="22">
        <f>Test!B28</f>
        <v>0</v>
      </c>
      <c r="M30" s="23">
        <f>Test!C28</f>
        <v>0</v>
      </c>
      <c r="N30" s="23">
        <f>Test!D28</f>
        <v>0</v>
      </c>
      <c r="O30" s="23">
        <f>Test!E28</f>
        <v>0</v>
      </c>
      <c r="P30" s="23">
        <f>Test!F28</f>
        <v>0</v>
      </c>
      <c r="Q30" s="23">
        <f>Test!G28</f>
        <v>0</v>
      </c>
      <c r="R30" s="23">
        <f t="shared" si="8"/>
        <v>0</v>
      </c>
      <c r="S30" s="17">
        <f t="shared" si="9"/>
        <v>0</v>
      </c>
      <c r="T30" s="18">
        <f t="shared" si="10"/>
        <v>0</v>
      </c>
      <c r="U30" s="91"/>
      <c r="V30" s="51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Reference!B29</f>
        <v>39891.321600000003</v>
      </c>
      <c r="E31" s="13">
        <f>Reference!C29</f>
        <v>44.859499999999997</v>
      </c>
      <c r="F31" s="13">
        <f>Reference!D29</f>
        <v>47.069299999999998</v>
      </c>
      <c r="G31" s="13">
        <f>Reference!E29</f>
        <v>48.015999999999998</v>
      </c>
      <c r="H31" s="13">
        <f>Reference!F29</f>
        <v>49765.078000000001</v>
      </c>
      <c r="I31" s="13">
        <f>Reference!G29</f>
        <v>15.249000000000001</v>
      </c>
      <c r="J31" s="14">
        <f t="shared" si="7"/>
        <v>13.823632777777778</v>
      </c>
      <c r="L31" s="12">
        <f>Test!B29</f>
        <v>0</v>
      </c>
      <c r="M31" s="13">
        <f>Test!C29</f>
        <v>0</v>
      </c>
      <c r="N31" s="13">
        <f>Test!D29</f>
        <v>0</v>
      </c>
      <c r="O31" s="13">
        <f>Test!E29</f>
        <v>0</v>
      </c>
      <c r="P31" s="13">
        <f>Test!F29</f>
        <v>0</v>
      </c>
      <c r="Q31" s="13">
        <f>Test!G29</f>
        <v>0</v>
      </c>
      <c r="R31" s="13">
        <f t="shared" si="8"/>
        <v>0</v>
      </c>
      <c r="S31" s="17">
        <f t="shared" si="9"/>
        <v>0</v>
      </c>
      <c r="T31" s="18">
        <f t="shared" si="10"/>
        <v>0</v>
      </c>
      <c r="U31" s="91"/>
      <c r="V31" s="42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Reference!B30</f>
        <v>26307.430400000001</v>
      </c>
      <c r="E32" s="18">
        <f>Reference!C30</f>
        <v>42.712499999999999</v>
      </c>
      <c r="F32" s="18">
        <f>Reference!D30</f>
        <v>45.302399999999999</v>
      </c>
      <c r="G32" s="18">
        <f>Reference!E30</f>
        <v>46.144399999999997</v>
      </c>
      <c r="H32" s="18">
        <f>Reference!F30</f>
        <v>38314.413999999997</v>
      </c>
      <c r="I32" s="18">
        <f>Reference!G30</f>
        <v>13.708</v>
      </c>
      <c r="J32" s="19">
        <f t="shared" si="7"/>
        <v>10.642892777777776</v>
      </c>
      <c r="L32" s="17">
        <f>Test!B30</f>
        <v>0</v>
      </c>
      <c r="M32" s="18">
        <f>Test!C30</f>
        <v>0</v>
      </c>
      <c r="N32" s="18">
        <f>Test!D30</f>
        <v>0</v>
      </c>
      <c r="O32" s="18">
        <f>Test!E30</f>
        <v>0</v>
      </c>
      <c r="P32" s="18">
        <f>Test!F30</f>
        <v>0</v>
      </c>
      <c r="Q32" s="18">
        <f>Test!G30</f>
        <v>0</v>
      </c>
      <c r="R32" s="18">
        <f t="shared" si="8"/>
        <v>0</v>
      </c>
      <c r="S32" s="17">
        <f t="shared" si="9"/>
        <v>0</v>
      </c>
      <c r="T32" s="18">
        <f t="shared" si="10"/>
        <v>0</v>
      </c>
      <c r="U32" s="91"/>
      <c r="V32" s="25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Reference!B31</f>
        <v>15583.046399999999</v>
      </c>
      <c r="E33" s="18">
        <f>Reference!C31</f>
        <v>40.039299999999997</v>
      </c>
      <c r="F33" s="18">
        <f>Reference!D31</f>
        <v>43.6798</v>
      </c>
      <c r="G33" s="18">
        <f>Reference!E31</f>
        <v>44.342700000000001</v>
      </c>
      <c r="H33" s="18">
        <f>Reference!F31</f>
        <v>26907.794999999998</v>
      </c>
      <c r="I33" s="18">
        <f>Reference!G31</f>
        <v>12.212999999999999</v>
      </c>
      <c r="J33" s="19">
        <f t="shared" si="7"/>
        <v>7.4743874999999997</v>
      </c>
      <c r="L33" s="17">
        <f>Test!B31</f>
        <v>0</v>
      </c>
      <c r="M33" s="18">
        <f>Test!C31</f>
        <v>0</v>
      </c>
      <c r="N33" s="18">
        <f>Test!D31</f>
        <v>0</v>
      </c>
      <c r="O33" s="18">
        <f>Test!E31</f>
        <v>0</v>
      </c>
      <c r="P33" s="18">
        <f>Test!F31</f>
        <v>0</v>
      </c>
      <c r="Q33" s="18">
        <f>Test!G31</f>
        <v>0</v>
      </c>
      <c r="R33" s="18">
        <f t="shared" si="8"/>
        <v>0</v>
      </c>
      <c r="S33" s="17">
        <f t="shared" si="9"/>
        <v>0</v>
      </c>
      <c r="T33" s="18">
        <f t="shared" si="10"/>
        <v>0</v>
      </c>
      <c r="U33" s="91"/>
      <c r="V33" s="25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Reference!B32</f>
        <v>8138.0672000000004</v>
      </c>
      <c r="E34" s="23">
        <f>Reference!C32</f>
        <v>36.983899999999998</v>
      </c>
      <c r="F34" s="23">
        <f>Reference!D32</f>
        <v>41.812800000000003</v>
      </c>
      <c r="G34" s="23">
        <f>Reference!E32</f>
        <v>42.187600000000003</v>
      </c>
      <c r="H34" s="23">
        <f>Reference!F32</f>
        <v>16656.030999999999</v>
      </c>
      <c r="I34" s="23">
        <f>Reference!G32</f>
        <v>10.757999999999999</v>
      </c>
      <c r="J34" s="24">
        <f t="shared" si="7"/>
        <v>4.6266752777777773</v>
      </c>
      <c r="L34" s="22">
        <f>Test!B32</f>
        <v>0</v>
      </c>
      <c r="M34" s="23">
        <f>Test!C32</f>
        <v>0</v>
      </c>
      <c r="N34" s="23">
        <f>Test!D32</f>
        <v>0</v>
      </c>
      <c r="O34" s="23">
        <f>Test!E32</f>
        <v>0</v>
      </c>
      <c r="P34" s="23">
        <f>Test!F32</f>
        <v>0</v>
      </c>
      <c r="Q34" s="23">
        <f>Test!G32</f>
        <v>0</v>
      </c>
      <c r="R34" s="23">
        <f t="shared" si="8"/>
        <v>0</v>
      </c>
      <c r="S34" s="17">
        <f t="shared" si="9"/>
        <v>0</v>
      </c>
      <c r="T34" s="18">
        <f t="shared" si="10"/>
        <v>0</v>
      </c>
      <c r="U34" s="91"/>
      <c r="V34" s="51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Reference!B33</f>
        <v>54232.108800000002</v>
      </c>
      <c r="E35" s="13">
        <f>Reference!C33</f>
        <v>41.691600000000001</v>
      </c>
      <c r="F35" s="13">
        <f>Reference!D33</f>
        <v>45.695700000000002</v>
      </c>
      <c r="G35" s="13">
        <f>Reference!E33</f>
        <v>46.055199999999999</v>
      </c>
      <c r="H35" s="13">
        <f>Reference!F33</f>
        <v>49216.351999999999</v>
      </c>
      <c r="I35" s="13">
        <f>Reference!G33</f>
        <v>9.7240000000000002</v>
      </c>
      <c r="J35" s="14">
        <f t="shared" si="7"/>
        <v>13.671208888888888</v>
      </c>
      <c r="L35" s="12">
        <f>Test!B33</f>
        <v>0</v>
      </c>
      <c r="M35" s="13">
        <f>Test!C33</f>
        <v>0</v>
      </c>
      <c r="N35" s="13">
        <f>Test!D33</f>
        <v>0</v>
      </c>
      <c r="O35" s="13">
        <f>Test!E33</f>
        <v>0</v>
      </c>
      <c r="P35" s="13">
        <f>Test!F33</f>
        <v>0</v>
      </c>
      <c r="Q35" s="13">
        <f>Test!G33</f>
        <v>0</v>
      </c>
      <c r="R35" s="13">
        <f t="shared" si="8"/>
        <v>0</v>
      </c>
      <c r="S35" s="12">
        <f t="shared" si="9"/>
        <v>0</v>
      </c>
      <c r="T35" s="13">
        <f t="shared" si="10"/>
        <v>0</v>
      </c>
      <c r="U35" s="90"/>
      <c r="V35" s="42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Reference!B34</f>
        <v>37054.7264</v>
      </c>
      <c r="E36" s="18">
        <f>Reference!C34</f>
        <v>38.760300000000001</v>
      </c>
      <c r="F36" s="18">
        <f>Reference!D34</f>
        <v>43.735900000000001</v>
      </c>
      <c r="G36" s="18">
        <f>Reference!E34</f>
        <v>44.156500000000001</v>
      </c>
      <c r="H36" s="18">
        <f>Reference!F34</f>
        <v>40742.004000000001</v>
      </c>
      <c r="I36" s="18">
        <f>Reference!G34</f>
        <v>9.0470000000000006</v>
      </c>
      <c r="J36" s="19">
        <f t="shared" si="7"/>
        <v>11.317223333333333</v>
      </c>
      <c r="L36" s="17">
        <f>Test!B34</f>
        <v>0</v>
      </c>
      <c r="M36" s="18">
        <f>Test!C34</f>
        <v>0</v>
      </c>
      <c r="N36" s="18">
        <f>Test!D34</f>
        <v>0</v>
      </c>
      <c r="O36" s="18">
        <f>Test!E34</f>
        <v>0</v>
      </c>
      <c r="P36" s="18">
        <f>Test!F34</f>
        <v>0</v>
      </c>
      <c r="Q36" s="18">
        <f>Test!G34</f>
        <v>0</v>
      </c>
      <c r="R36" s="18">
        <f t="shared" si="8"/>
        <v>0</v>
      </c>
      <c r="S36" s="17">
        <f t="shared" si="9"/>
        <v>0</v>
      </c>
      <c r="T36" s="18">
        <f t="shared" si="10"/>
        <v>0</v>
      </c>
      <c r="U36" s="91"/>
      <c r="V36" s="25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Reference!B35</f>
        <v>22016.6528</v>
      </c>
      <c r="E37" s="18">
        <f>Reference!C35</f>
        <v>35.389600000000002</v>
      </c>
      <c r="F37" s="18">
        <f>Reference!D35</f>
        <v>42.098399999999998</v>
      </c>
      <c r="G37" s="18">
        <f>Reference!E35</f>
        <v>42.624099999999999</v>
      </c>
      <c r="H37" s="18">
        <f>Reference!F35</f>
        <v>30868.02</v>
      </c>
      <c r="I37" s="18">
        <f>Reference!G35</f>
        <v>7.6180000000000003</v>
      </c>
      <c r="J37" s="19">
        <f t="shared" si="7"/>
        <v>8.5744500000000006</v>
      </c>
      <c r="L37" s="17">
        <f>Test!B35</f>
        <v>0</v>
      </c>
      <c r="M37" s="18">
        <f>Test!C35</f>
        <v>0</v>
      </c>
      <c r="N37" s="18">
        <f>Test!D35</f>
        <v>0</v>
      </c>
      <c r="O37" s="18">
        <f>Test!E35</f>
        <v>0</v>
      </c>
      <c r="P37" s="18">
        <f>Test!F35</f>
        <v>0</v>
      </c>
      <c r="Q37" s="18">
        <f>Test!G35</f>
        <v>0</v>
      </c>
      <c r="R37" s="18">
        <f t="shared" si="8"/>
        <v>0</v>
      </c>
      <c r="S37" s="17">
        <f t="shared" si="9"/>
        <v>0</v>
      </c>
      <c r="T37" s="18">
        <f t="shared" si="10"/>
        <v>0</v>
      </c>
      <c r="U37" s="91"/>
      <c r="V37" s="25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Reference!B36</f>
        <v>10870.5728</v>
      </c>
      <c r="E38" s="23">
        <f>Reference!C36</f>
        <v>31.769400000000001</v>
      </c>
      <c r="F38" s="23">
        <f>Reference!D36</f>
        <v>40.547600000000003</v>
      </c>
      <c r="G38" s="23">
        <f>Reference!E36</f>
        <v>41.185200000000002</v>
      </c>
      <c r="H38" s="23">
        <f>Reference!F36</f>
        <v>19662.164000000001</v>
      </c>
      <c r="I38" s="23">
        <f>Reference!G36</f>
        <v>6.1669999999999998</v>
      </c>
      <c r="J38" s="24">
        <f t="shared" si="7"/>
        <v>5.4617122222222223</v>
      </c>
      <c r="L38" s="22">
        <f>Test!B36</f>
        <v>0</v>
      </c>
      <c r="M38" s="23">
        <f>Test!C36</f>
        <v>0</v>
      </c>
      <c r="N38" s="23">
        <f>Test!D36</f>
        <v>0</v>
      </c>
      <c r="O38" s="23">
        <f>Test!E36</f>
        <v>0</v>
      </c>
      <c r="P38" s="23">
        <f>Test!F36</f>
        <v>0</v>
      </c>
      <c r="Q38" s="23">
        <f>Test!G36</f>
        <v>0</v>
      </c>
      <c r="R38" s="23">
        <f t="shared" si="8"/>
        <v>0</v>
      </c>
      <c r="S38" s="17">
        <f t="shared" si="9"/>
        <v>0</v>
      </c>
      <c r="T38" s="18">
        <f t="shared" si="10"/>
        <v>0</v>
      </c>
      <c r="U38" s="91"/>
      <c r="V38" s="51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Reference!B37</f>
        <v>20390.604800000001</v>
      </c>
      <c r="E39" s="13">
        <f>Reference!C37</f>
        <v>42.667299999999997</v>
      </c>
      <c r="F39" s="13">
        <f>Reference!D37</f>
        <v>45.424700000000001</v>
      </c>
      <c r="G39" s="13">
        <f>Reference!E37</f>
        <v>46.883699999999997</v>
      </c>
      <c r="H39" s="13">
        <f>Reference!F37</f>
        <v>28082.603999999999</v>
      </c>
      <c r="I39" s="13">
        <f>Reference!G37</f>
        <v>6.9790000000000001</v>
      </c>
      <c r="J39" s="14">
        <f t="shared" si="7"/>
        <v>7.800723333333333</v>
      </c>
      <c r="L39" s="12">
        <f>Test!B37</f>
        <v>0</v>
      </c>
      <c r="M39" s="13">
        <f>Test!C37</f>
        <v>0</v>
      </c>
      <c r="N39" s="13">
        <f>Test!D37</f>
        <v>0</v>
      </c>
      <c r="O39" s="13">
        <f>Test!E37</f>
        <v>0</v>
      </c>
      <c r="P39" s="13">
        <f>Test!F37</f>
        <v>0</v>
      </c>
      <c r="Q39" s="13">
        <f>Test!G37</f>
        <v>0</v>
      </c>
      <c r="R39" s="13">
        <f t="shared" si="8"/>
        <v>0</v>
      </c>
      <c r="S39" s="17">
        <f t="shared" si="9"/>
        <v>0</v>
      </c>
      <c r="T39" s="18">
        <f t="shared" si="10"/>
        <v>0</v>
      </c>
      <c r="U39" s="91"/>
      <c r="V39" s="42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Reference!B38</f>
        <v>11599.974399999999</v>
      </c>
      <c r="E40" s="18">
        <f>Reference!C38</f>
        <v>40.650100000000002</v>
      </c>
      <c r="F40" s="18">
        <f>Reference!D38</f>
        <v>44.457099999999997</v>
      </c>
      <c r="G40" s="18">
        <f>Reference!E38</f>
        <v>45.218400000000003</v>
      </c>
      <c r="H40" s="18">
        <f>Reference!F38</f>
        <v>19347.248</v>
      </c>
      <c r="I40" s="18">
        <f>Reference!G38</f>
        <v>6.056</v>
      </c>
      <c r="J40" s="19">
        <f t="shared" si="7"/>
        <v>5.3742355555555559</v>
      </c>
      <c r="L40" s="17">
        <f>Test!B38</f>
        <v>0</v>
      </c>
      <c r="M40" s="18">
        <f>Test!C38</f>
        <v>0</v>
      </c>
      <c r="N40" s="18">
        <f>Test!D38</f>
        <v>0</v>
      </c>
      <c r="O40" s="18">
        <f>Test!E38</f>
        <v>0</v>
      </c>
      <c r="P40" s="18">
        <f>Test!F38</f>
        <v>0</v>
      </c>
      <c r="Q40" s="18">
        <f>Test!G38</f>
        <v>0</v>
      </c>
      <c r="R40" s="18">
        <f t="shared" si="8"/>
        <v>0</v>
      </c>
      <c r="S40" s="17">
        <f t="shared" si="9"/>
        <v>0</v>
      </c>
      <c r="T40" s="18">
        <f t="shared" si="10"/>
        <v>0</v>
      </c>
      <c r="U40" s="91"/>
      <c r="V40" s="25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Reference!B39</f>
        <v>6433.0752000000002</v>
      </c>
      <c r="E41" s="18">
        <f>Reference!C39</f>
        <v>38.646500000000003</v>
      </c>
      <c r="F41" s="18">
        <f>Reference!D39</f>
        <v>43.451300000000003</v>
      </c>
      <c r="G41" s="18">
        <f>Reference!E39</f>
        <v>43.488599999999998</v>
      </c>
      <c r="H41" s="18">
        <f>Reference!F39</f>
        <v>12425.243</v>
      </c>
      <c r="I41" s="18">
        <f>Reference!G39</f>
        <v>5.2549999999999999</v>
      </c>
      <c r="J41" s="19">
        <f t="shared" si="7"/>
        <v>3.4514563888888889</v>
      </c>
      <c r="L41" s="17">
        <f>Test!B39</f>
        <v>0</v>
      </c>
      <c r="M41" s="18">
        <f>Test!C39</f>
        <v>0</v>
      </c>
      <c r="N41" s="18">
        <f>Test!D39</f>
        <v>0</v>
      </c>
      <c r="O41" s="18">
        <f>Test!E39</f>
        <v>0</v>
      </c>
      <c r="P41" s="18">
        <f>Test!F39</f>
        <v>0</v>
      </c>
      <c r="Q41" s="18">
        <f>Test!G39</f>
        <v>0</v>
      </c>
      <c r="R41" s="18">
        <f t="shared" si="8"/>
        <v>0</v>
      </c>
      <c r="S41" s="17">
        <f t="shared" si="9"/>
        <v>0</v>
      </c>
      <c r="T41" s="18">
        <f t="shared" si="10"/>
        <v>0</v>
      </c>
      <c r="U41" s="91"/>
      <c r="V41" s="25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Reference!B40</f>
        <v>3281.9456</v>
      </c>
      <c r="E42" s="23">
        <f>Reference!C40</f>
        <v>36.2714</v>
      </c>
      <c r="F42" s="23">
        <f>Reference!D40</f>
        <v>42.055500000000002</v>
      </c>
      <c r="G42" s="23">
        <f>Reference!E40</f>
        <v>41.349200000000003</v>
      </c>
      <c r="H42" s="23">
        <f>Reference!F40</f>
        <v>7568.3829999999998</v>
      </c>
      <c r="I42" s="23">
        <f>Reference!G40</f>
        <v>4.8760000000000003</v>
      </c>
      <c r="J42" s="24">
        <f t="shared" si="7"/>
        <v>2.102328611111111</v>
      </c>
      <c r="L42" s="22">
        <f>Test!B40</f>
        <v>0</v>
      </c>
      <c r="M42" s="23">
        <f>Test!C40</f>
        <v>0</v>
      </c>
      <c r="N42" s="23">
        <f>Test!D40</f>
        <v>0</v>
      </c>
      <c r="O42" s="23">
        <f>Test!E40</f>
        <v>0</v>
      </c>
      <c r="P42" s="23">
        <f>Test!F40</f>
        <v>0</v>
      </c>
      <c r="Q42" s="23">
        <f>Test!G40</f>
        <v>0</v>
      </c>
      <c r="R42" s="23">
        <f t="shared" si="8"/>
        <v>0</v>
      </c>
      <c r="S42" s="17">
        <f t="shared" si="9"/>
        <v>0</v>
      </c>
      <c r="T42" s="18">
        <f t="shared" si="10"/>
        <v>0</v>
      </c>
      <c r="U42" s="91"/>
      <c r="V42" s="51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Reference!B41</f>
        <v>15326.464</v>
      </c>
      <c r="E43" s="13">
        <f>Reference!C41</f>
        <v>44.1815</v>
      </c>
      <c r="F43" s="13">
        <f>Reference!D41</f>
        <v>46.9116</v>
      </c>
      <c r="G43" s="13">
        <f>Reference!E41</f>
        <v>47.778799999999997</v>
      </c>
      <c r="H43" s="13">
        <f>Reference!F41</f>
        <v>22378.646000000001</v>
      </c>
      <c r="I43" s="13">
        <f>Reference!G41</f>
        <v>6.5679999999999996</v>
      </c>
      <c r="J43" s="14">
        <f t="shared" si="7"/>
        <v>6.2162905555555561</v>
      </c>
      <c r="L43" s="12">
        <f>Test!B41</f>
        <v>0</v>
      </c>
      <c r="M43" s="13">
        <f>Test!C41</f>
        <v>0</v>
      </c>
      <c r="N43" s="13">
        <f>Test!D41</f>
        <v>0</v>
      </c>
      <c r="O43" s="13">
        <f>Test!E41</f>
        <v>0</v>
      </c>
      <c r="P43" s="13">
        <f>Test!F41</f>
        <v>0</v>
      </c>
      <c r="Q43" s="13">
        <f>Test!G41</f>
        <v>0</v>
      </c>
      <c r="R43" s="13">
        <f t="shared" si="8"/>
        <v>0</v>
      </c>
      <c r="S43" s="17">
        <f t="shared" si="9"/>
        <v>0</v>
      </c>
      <c r="T43" s="18">
        <f t="shared" si="10"/>
        <v>0</v>
      </c>
      <c r="U43" s="91"/>
      <c r="V43" s="42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Reference!B42</f>
        <v>10382.924800000001</v>
      </c>
      <c r="E44" s="18">
        <f>Reference!C42</f>
        <v>42.447200000000002</v>
      </c>
      <c r="F44" s="18">
        <f>Reference!D42</f>
        <v>45.676200000000001</v>
      </c>
      <c r="G44" s="18">
        <f>Reference!E42</f>
        <v>46.351399999999998</v>
      </c>
      <c r="H44" s="18">
        <f>Reference!F42</f>
        <v>16702.826000000001</v>
      </c>
      <c r="I44" s="18">
        <f>Reference!G42</f>
        <v>5.9349999999999996</v>
      </c>
      <c r="J44" s="19">
        <f t="shared" si="7"/>
        <v>4.6396738888888889</v>
      </c>
      <c r="L44" s="17">
        <f>Test!B42</f>
        <v>0</v>
      </c>
      <c r="M44" s="18">
        <f>Test!C42</f>
        <v>0</v>
      </c>
      <c r="N44" s="18">
        <f>Test!D42</f>
        <v>0</v>
      </c>
      <c r="O44" s="18">
        <f>Test!E42</f>
        <v>0</v>
      </c>
      <c r="P44" s="18">
        <f>Test!F42</f>
        <v>0</v>
      </c>
      <c r="Q44" s="18">
        <f>Test!G42</f>
        <v>0</v>
      </c>
      <c r="R44" s="18">
        <f t="shared" si="8"/>
        <v>0</v>
      </c>
      <c r="S44" s="17">
        <f t="shared" si="9"/>
        <v>0</v>
      </c>
      <c r="T44" s="18">
        <f t="shared" si="10"/>
        <v>0</v>
      </c>
      <c r="U44" s="91"/>
      <c r="V44" s="25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Reference!B43</f>
        <v>6558.7327999999998</v>
      </c>
      <c r="E45" s="18">
        <f>Reference!C43</f>
        <v>40.103999999999999</v>
      </c>
      <c r="F45" s="18">
        <f>Reference!D43</f>
        <v>44.288400000000003</v>
      </c>
      <c r="G45" s="18">
        <f>Reference!E43</f>
        <v>44.827599999999997</v>
      </c>
      <c r="H45" s="18">
        <f>Reference!F43</f>
        <v>11767.558000000001</v>
      </c>
      <c r="I45" s="18">
        <f>Reference!G43</f>
        <v>5.5039999999999996</v>
      </c>
      <c r="J45" s="19">
        <f t="shared" si="7"/>
        <v>3.2687661111111113</v>
      </c>
      <c r="L45" s="17">
        <f>Test!B43</f>
        <v>0</v>
      </c>
      <c r="M45" s="18">
        <f>Test!C43</f>
        <v>0</v>
      </c>
      <c r="N45" s="18">
        <f>Test!D43</f>
        <v>0</v>
      </c>
      <c r="O45" s="18">
        <f>Test!E43</f>
        <v>0</v>
      </c>
      <c r="P45" s="18">
        <f>Test!F43</f>
        <v>0</v>
      </c>
      <c r="Q45" s="18">
        <f>Test!G43</f>
        <v>0</v>
      </c>
      <c r="R45" s="18">
        <f t="shared" si="8"/>
        <v>0</v>
      </c>
      <c r="S45" s="17">
        <f t="shared" si="9"/>
        <v>0</v>
      </c>
      <c r="T45" s="18">
        <f t="shared" si="10"/>
        <v>0</v>
      </c>
      <c r="U45" s="91"/>
      <c r="V45" s="25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Reference!B44</f>
        <v>3793.7984000000001</v>
      </c>
      <c r="E46" s="23">
        <f>Reference!C44</f>
        <v>37.116900000000001</v>
      </c>
      <c r="F46" s="23">
        <f>Reference!D44</f>
        <v>42.518799999999999</v>
      </c>
      <c r="G46" s="23">
        <f>Reference!E44</f>
        <v>42.941099999999999</v>
      </c>
      <c r="H46" s="23">
        <f>Reference!F44</f>
        <v>7959.8779999999997</v>
      </c>
      <c r="I46" s="23">
        <f>Reference!G44</f>
        <v>5.0149999999999997</v>
      </c>
      <c r="J46" s="24">
        <f t="shared" si="7"/>
        <v>2.2110772222222224</v>
      </c>
      <c r="L46" s="22">
        <f>Test!B44</f>
        <v>0</v>
      </c>
      <c r="M46" s="23">
        <f>Test!C44</f>
        <v>0</v>
      </c>
      <c r="N46" s="23">
        <f>Test!D44</f>
        <v>0</v>
      </c>
      <c r="O46" s="23">
        <f>Test!E44</f>
        <v>0</v>
      </c>
      <c r="P46" s="23">
        <f>Test!F44</f>
        <v>0</v>
      </c>
      <c r="Q46" s="23">
        <f>Test!G44</f>
        <v>0</v>
      </c>
      <c r="R46" s="23">
        <f t="shared" si="8"/>
        <v>0</v>
      </c>
      <c r="S46" s="17">
        <f t="shared" si="9"/>
        <v>0</v>
      </c>
      <c r="T46" s="18">
        <f t="shared" si="10"/>
        <v>0</v>
      </c>
      <c r="U46" s="91"/>
      <c r="V46" s="51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Reference!B45</f>
        <v>16543.328000000001</v>
      </c>
      <c r="E47" s="13">
        <f>Reference!C45</f>
        <v>44.1265</v>
      </c>
      <c r="F47" s="13">
        <f>Reference!D45</f>
        <v>48.393099999999997</v>
      </c>
      <c r="G47" s="13">
        <f>Reference!E45</f>
        <v>48.147599999999997</v>
      </c>
      <c r="H47" s="13">
        <f>Reference!F45</f>
        <v>21999.261999999999</v>
      </c>
      <c r="I47" s="13">
        <f>Reference!G45</f>
        <v>6.3029999999999999</v>
      </c>
      <c r="J47" s="14">
        <f>H47/3600</f>
        <v>6.1109061111111105</v>
      </c>
      <c r="L47" s="12">
        <f>Test!B45</f>
        <v>0</v>
      </c>
      <c r="M47" s="13">
        <f>Test!C45</f>
        <v>0</v>
      </c>
      <c r="N47" s="13">
        <f>Test!D45</f>
        <v>0</v>
      </c>
      <c r="O47" s="13">
        <f>Test!E45</f>
        <v>0</v>
      </c>
      <c r="P47" s="13">
        <f>Test!F45</f>
        <v>0</v>
      </c>
      <c r="Q47" s="13">
        <f>Test!G45</f>
        <v>0</v>
      </c>
      <c r="R47" s="13">
        <f>P47/3600</f>
        <v>0</v>
      </c>
      <c r="S47" s="17">
        <f>P47/H47</f>
        <v>0</v>
      </c>
      <c r="T47" s="18">
        <f>Q47/I47</f>
        <v>0</v>
      </c>
      <c r="U47" s="91"/>
      <c r="V47" s="42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Reference!B46</f>
        <v>11480.947200000001</v>
      </c>
      <c r="E48" s="18">
        <f>Reference!C46</f>
        <v>42.376199999999997</v>
      </c>
      <c r="F48" s="18">
        <f>Reference!D46</f>
        <v>47.247100000000003</v>
      </c>
      <c r="G48" s="18">
        <f>Reference!E46</f>
        <v>46.526800000000001</v>
      </c>
      <c r="H48" s="18">
        <f>Reference!F46</f>
        <v>16880.213</v>
      </c>
      <c r="I48" s="18">
        <f>Reference!G46</f>
        <v>5.6520000000000001</v>
      </c>
      <c r="J48" s="19">
        <f t="shared" ref="J48:J70" si="11">H48/3600</f>
        <v>4.6889480555555556</v>
      </c>
      <c r="L48" s="17">
        <f>Test!B46</f>
        <v>0</v>
      </c>
      <c r="M48" s="18">
        <f>Test!C46</f>
        <v>0</v>
      </c>
      <c r="N48" s="18">
        <f>Test!D46</f>
        <v>0</v>
      </c>
      <c r="O48" s="18">
        <f>Test!E46</f>
        <v>0</v>
      </c>
      <c r="P48" s="18">
        <f>Test!F46</f>
        <v>0</v>
      </c>
      <c r="Q48" s="18">
        <f>Test!G46</f>
        <v>0</v>
      </c>
      <c r="R48" s="18">
        <f t="shared" ref="R48:R70" si="12">P48/3600</f>
        <v>0</v>
      </c>
      <c r="S48" s="17">
        <f t="shared" ref="S48:S70" si="13">P48/H48</f>
        <v>0</v>
      </c>
      <c r="T48" s="18">
        <f t="shared" ref="T48:T70" si="14">Q48/I48</f>
        <v>0</v>
      </c>
      <c r="U48" s="91"/>
      <c r="V48" s="25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Reference!B47</f>
        <v>7450.1247999999996</v>
      </c>
      <c r="E49" s="18">
        <f>Reference!C47</f>
        <v>39.9724</v>
      </c>
      <c r="F49" s="18">
        <f>Reference!D47</f>
        <v>46.021299999999997</v>
      </c>
      <c r="G49" s="18">
        <f>Reference!E47</f>
        <v>44.681800000000003</v>
      </c>
      <c r="H49" s="18">
        <f>Reference!F47</f>
        <v>12345.812</v>
      </c>
      <c r="I49" s="18">
        <f>Reference!G47</f>
        <v>5.2649999999999997</v>
      </c>
      <c r="J49" s="19">
        <f t="shared" si="11"/>
        <v>3.4293922222222224</v>
      </c>
      <c r="L49" s="17">
        <f>Test!B47</f>
        <v>0</v>
      </c>
      <c r="M49" s="18">
        <f>Test!C47</f>
        <v>0</v>
      </c>
      <c r="N49" s="18">
        <f>Test!D47</f>
        <v>0</v>
      </c>
      <c r="O49" s="18">
        <f>Test!E47</f>
        <v>0</v>
      </c>
      <c r="P49" s="18">
        <f>Test!F47</f>
        <v>0</v>
      </c>
      <c r="Q49" s="18">
        <f>Test!G47</f>
        <v>0</v>
      </c>
      <c r="R49" s="18">
        <f t="shared" si="12"/>
        <v>0</v>
      </c>
      <c r="S49" s="17">
        <f t="shared" si="13"/>
        <v>0</v>
      </c>
      <c r="T49" s="18">
        <f t="shared" si="14"/>
        <v>0</v>
      </c>
      <c r="U49" s="91"/>
      <c r="V49" s="25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Reference!B48</f>
        <v>4334.9440000000004</v>
      </c>
      <c r="E50" s="23">
        <f>Reference!C48</f>
        <v>36.746699999999997</v>
      </c>
      <c r="F50" s="23">
        <f>Reference!D48</f>
        <v>44.255899999999997</v>
      </c>
      <c r="G50" s="23">
        <f>Reference!E48</f>
        <v>42.363999999999997</v>
      </c>
      <c r="H50" s="23">
        <f>Reference!F48</f>
        <v>8470.652</v>
      </c>
      <c r="I50" s="23">
        <f>Reference!G48</f>
        <v>4.7300000000000004</v>
      </c>
      <c r="J50" s="24">
        <f t="shared" si="11"/>
        <v>2.3529588888888888</v>
      </c>
      <c r="L50" s="22">
        <f>Test!B48</f>
        <v>0</v>
      </c>
      <c r="M50" s="23">
        <f>Test!C48</f>
        <v>0</v>
      </c>
      <c r="N50" s="23">
        <f>Test!D48</f>
        <v>0</v>
      </c>
      <c r="O50" s="23">
        <f>Test!E48</f>
        <v>0</v>
      </c>
      <c r="P50" s="23">
        <f>Test!F48</f>
        <v>0</v>
      </c>
      <c r="Q50" s="23">
        <f>Test!G48</f>
        <v>0</v>
      </c>
      <c r="R50" s="23">
        <f t="shared" si="12"/>
        <v>0</v>
      </c>
      <c r="S50" s="22">
        <f t="shared" si="13"/>
        <v>0</v>
      </c>
      <c r="T50" s="23">
        <f t="shared" si="14"/>
        <v>0</v>
      </c>
      <c r="U50" s="92"/>
      <c r="V50" s="51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Reference!B49</f>
        <v>0</v>
      </c>
      <c r="E51" s="13">
        <f>Reference!C49</f>
        <v>0</v>
      </c>
      <c r="F51" s="13">
        <f>Reference!D49</f>
        <v>0</v>
      </c>
      <c r="G51" s="13">
        <f>Reference!E49</f>
        <v>0</v>
      </c>
      <c r="H51" s="13">
        <f>Reference!F49</f>
        <v>0</v>
      </c>
      <c r="I51" s="13">
        <f>Reference!G49</f>
        <v>0</v>
      </c>
      <c r="J51" s="14">
        <f t="shared" si="11"/>
        <v>0</v>
      </c>
      <c r="L51" s="12">
        <f>Test!B49</f>
        <v>0</v>
      </c>
      <c r="M51" s="13">
        <f>Test!C49</f>
        <v>0</v>
      </c>
      <c r="N51" s="13">
        <f>Test!D49</f>
        <v>0</v>
      </c>
      <c r="O51" s="13">
        <f>Test!E49</f>
        <v>0</v>
      </c>
      <c r="P51" s="13">
        <f>Test!F49</f>
        <v>0</v>
      </c>
      <c r="Q51" s="13">
        <f>Test!G49</f>
        <v>0</v>
      </c>
      <c r="R51" s="14">
        <f t="shared" si="12"/>
        <v>0</v>
      </c>
      <c r="S51" s="12" t="e">
        <f t="shared" si="13"/>
        <v>#DIV/0!</v>
      </c>
      <c r="T51" s="13" t="e">
        <f t="shared" si="14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Reference!B50</f>
        <v>0</v>
      </c>
      <c r="E52" s="18">
        <f>Reference!C50</f>
        <v>0</v>
      </c>
      <c r="F52" s="18">
        <f>Reference!D50</f>
        <v>0</v>
      </c>
      <c r="G52" s="18">
        <f>Reference!E50</f>
        <v>0</v>
      </c>
      <c r="H52" s="18">
        <f>Reference!F50</f>
        <v>0</v>
      </c>
      <c r="I52" s="18">
        <f>Reference!G50</f>
        <v>0</v>
      </c>
      <c r="J52" s="19">
        <f t="shared" si="11"/>
        <v>0</v>
      </c>
      <c r="L52" s="17">
        <f>Test!B50</f>
        <v>0</v>
      </c>
      <c r="M52" s="18">
        <f>Test!C50</f>
        <v>0</v>
      </c>
      <c r="N52" s="18">
        <f>Test!D50</f>
        <v>0</v>
      </c>
      <c r="O52" s="18">
        <f>Test!E50</f>
        <v>0</v>
      </c>
      <c r="P52" s="18">
        <f>Test!F50</f>
        <v>0</v>
      </c>
      <c r="Q52" s="18">
        <f>Test!G50</f>
        <v>0</v>
      </c>
      <c r="R52" s="19">
        <f t="shared" si="12"/>
        <v>0</v>
      </c>
      <c r="S52" s="17" t="e">
        <f t="shared" si="13"/>
        <v>#DIV/0!</v>
      </c>
      <c r="T52" s="18" t="e">
        <f t="shared" si="14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Reference!B51</f>
        <v>0</v>
      </c>
      <c r="E53" s="18">
        <f>Reference!C51</f>
        <v>0</v>
      </c>
      <c r="F53" s="18">
        <f>Reference!D51</f>
        <v>0</v>
      </c>
      <c r="G53" s="18">
        <f>Reference!E51</f>
        <v>0</v>
      </c>
      <c r="H53" s="18">
        <f>Reference!F51</f>
        <v>0</v>
      </c>
      <c r="I53" s="18">
        <f>Reference!G51</f>
        <v>0</v>
      </c>
      <c r="J53" s="19">
        <f t="shared" si="11"/>
        <v>0</v>
      </c>
      <c r="L53" s="17">
        <f>Test!B51</f>
        <v>0</v>
      </c>
      <c r="M53" s="18">
        <f>Test!C51</f>
        <v>0</v>
      </c>
      <c r="N53" s="18">
        <f>Test!D51</f>
        <v>0</v>
      </c>
      <c r="O53" s="18">
        <f>Test!E51</f>
        <v>0</v>
      </c>
      <c r="P53" s="18">
        <f>Test!F51</f>
        <v>0</v>
      </c>
      <c r="Q53" s="18">
        <f>Test!G51</f>
        <v>0</v>
      </c>
      <c r="R53" s="19">
        <f t="shared" si="12"/>
        <v>0</v>
      </c>
      <c r="S53" s="17" t="e">
        <f t="shared" si="13"/>
        <v>#DIV/0!</v>
      </c>
      <c r="T53" s="18" t="e">
        <f t="shared" si="14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Reference!B52</f>
        <v>0</v>
      </c>
      <c r="E54" s="23">
        <f>Reference!C52</f>
        <v>0</v>
      </c>
      <c r="F54" s="23">
        <f>Reference!D52</f>
        <v>0</v>
      </c>
      <c r="G54" s="23">
        <f>Reference!E52</f>
        <v>0</v>
      </c>
      <c r="H54" s="23">
        <f>Reference!F52</f>
        <v>0</v>
      </c>
      <c r="I54" s="23">
        <f>Reference!G52</f>
        <v>0</v>
      </c>
      <c r="J54" s="24">
        <f t="shared" si="11"/>
        <v>0</v>
      </c>
      <c r="L54" s="22">
        <f>Test!B52</f>
        <v>0</v>
      </c>
      <c r="M54" s="23">
        <f>Test!C52</f>
        <v>0</v>
      </c>
      <c r="N54" s="23">
        <f>Test!D52</f>
        <v>0</v>
      </c>
      <c r="O54" s="23">
        <f>Test!E52</f>
        <v>0</v>
      </c>
      <c r="P54" s="23">
        <f>Test!F52</f>
        <v>0</v>
      </c>
      <c r="Q54" s="23">
        <f>Test!G52</f>
        <v>0</v>
      </c>
      <c r="R54" s="24">
        <f t="shared" si="12"/>
        <v>0</v>
      </c>
      <c r="S54" s="17" t="e">
        <f t="shared" si="13"/>
        <v>#DIV/0!</v>
      </c>
      <c r="T54" s="18" t="e">
        <f t="shared" si="14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Reference!B53</f>
        <v>0</v>
      </c>
      <c r="E55" s="13">
        <f>Reference!C53</f>
        <v>0</v>
      </c>
      <c r="F55" s="13">
        <f>Reference!D53</f>
        <v>0</v>
      </c>
      <c r="G55" s="13">
        <f>Reference!E53</f>
        <v>0</v>
      </c>
      <c r="H55" s="13">
        <f>Reference!F53</f>
        <v>0</v>
      </c>
      <c r="I55" s="13">
        <f>Reference!G53</f>
        <v>0</v>
      </c>
      <c r="J55" s="14">
        <f t="shared" si="11"/>
        <v>0</v>
      </c>
      <c r="L55" s="12">
        <f>Test!B53</f>
        <v>0</v>
      </c>
      <c r="M55" s="13">
        <f>Test!C53</f>
        <v>0</v>
      </c>
      <c r="N55" s="13">
        <f>Test!D53</f>
        <v>0</v>
      </c>
      <c r="O55" s="13">
        <f>Test!E53</f>
        <v>0</v>
      </c>
      <c r="P55" s="13">
        <f>Test!F53</f>
        <v>0</v>
      </c>
      <c r="Q55" s="13">
        <f>Test!G53</f>
        <v>0</v>
      </c>
      <c r="R55" s="14">
        <f t="shared" si="12"/>
        <v>0</v>
      </c>
      <c r="S55" s="17" t="e">
        <f t="shared" si="13"/>
        <v>#DIV/0!</v>
      </c>
      <c r="T55" s="18" t="e">
        <f t="shared" si="14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Reference!B54</f>
        <v>0</v>
      </c>
      <c r="E56" s="18">
        <f>Reference!C54</f>
        <v>0</v>
      </c>
      <c r="F56" s="18">
        <f>Reference!D54</f>
        <v>0</v>
      </c>
      <c r="G56" s="18">
        <f>Reference!E54</f>
        <v>0</v>
      </c>
      <c r="H56" s="18">
        <f>Reference!F54</f>
        <v>0</v>
      </c>
      <c r="I56" s="18">
        <f>Reference!G54</f>
        <v>0</v>
      </c>
      <c r="J56" s="19">
        <f t="shared" si="11"/>
        <v>0</v>
      </c>
      <c r="L56" s="17">
        <f>Test!B54</f>
        <v>0</v>
      </c>
      <c r="M56" s="18">
        <f>Test!C54</f>
        <v>0</v>
      </c>
      <c r="N56" s="18">
        <f>Test!D54</f>
        <v>0</v>
      </c>
      <c r="O56" s="18">
        <f>Test!E54</f>
        <v>0</v>
      </c>
      <c r="P56" s="18">
        <f>Test!F54</f>
        <v>0</v>
      </c>
      <c r="Q56" s="18">
        <f>Test!G54</f>
        <v>0</v>
      </c>
      <c r="R56" s="19">
        <f t="shared" si="12"/>
        <v>0</v>
      </c>
      <c r="S56" s="17" t="e">
        <f t="shared" si="13"/>
        <v>#DIV/0!</v>
      </c>
      <c r="T56" s="18" t="e">
        <f t="shared" si="14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Reference!B55</f>
        <v>0</v>
      </c>
      <c r="E57" s="18">
        <f>Reference!C55</f>
        <v>0</v>
      </c>
      <c r="F57" s="18">
        <f>Reference!D55</f>
        <v>0</v>
      </c>
      <c r="G57" s="18">
        <f>Reference!E55</f>
        <v>0</v>
      </c>
      <c r="H57" s="18">
        <f>Reference!F55</f>
        <v>0</v>
      </c>
      <c r="I57" s="18">
        <f>Reference!G55</f>
        <v>0</v>
      </c>
      <c r="J57" s="19">
        <f t="shared" si="11"/>
        <v>0</v>
      </c>
      <c r="L57" s="17">
        <f>Test!B55</f>
        <v>0</v>
      </c>
      <c r="M57" s="18">
        <f>Test!C55</f>
        <v>0</v>
      </c>
      <c r="N57" s="18">
        <f>Test!D55</f>
        <v>0</v>
      </c>
      <c r="O57" s="18">
        <f>Test!E55</f>
        <v>0</v>
      </c>
      <c r="P57" s="18">
        <f>Test!F55</f>
        <v>0</v>
      </c>
      <c r="Q57" s="18">
        <f>Test!G55</f>
        <v>0</v>
      </c>
      <c r="R57" s="19">
        <f t="shared" si="12"/>
        <v>0</v>
      </c>
      <c r="S57" s="17" t="e">
        <f t="shared" si="13"/>
        <v>#DIV/0!</v>
      </c>
      <c r="T57" s="18" t="e">
        <f t="shared" si="14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Reference!B56</f>
        <v>0</v>
      </c>
      <c r="E58" s="23">
        <f>Reference!C56</f>
        <v>0</v>
      </c>
      <c r="F58" s="23">
        <f>Reference!D56</f>
        <v>0</v>
      </c>
      <c r="G58" s="23">
        <f>Reference!E56</f>
        <v>0</v>
      </c>
      <c r="H58" s="23">
        <f>Reference!F56</f>
        <v>0</v>
      </c>
      <c r="I58" s="23">
        <f>Reference!G56</f>
        <v>0</v>
      </c>
      <c r="J58" s="24">
        <f t="shared" si="11"/>
        <v>0</v>
      </c>
      <c r="L58" s="22">
        <f>Test!B56</f>
        <v>0</v>
      </c>
      <c r="M58" s="23">
        <f>Test!C56</f>
        <v>0</v>
      </c>
      <c r="N58" s="23">
        <f>Test!D56</f>
        <v>0</v>
      </c>
      <c r="O58" s="23">
        <f>Test!E56</f>
        <v>0</v>
      </c>
      <c r="P58" s="23">
        <f>Test!F56</f>
        <v>0</v>
      </c>
      <c r="Q58" s="23">
        <f>Test!G56</f>
        <v>0</v>
      </c>
      <c r="R58" s="24">
        <f t="shared" si="12"/>
        <v>0</v>
      </c>
      <c r="S58" s="22" t="e">
        <f t="shared" si="13"/>
        <v>#DIV/0!</v>
      </c>
      <c r="T58" s="23" t="e">
        <f t="shared" si="14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48" t="s">
        <v>371</v>
      </c>
      <c r="B59" s="48" t="s">
        <v>367</v>
      </c>
      <c r="C59" s="11">
        <v>27</v>
      </c>
      <c r="D59" s="12">
        <f>Reference!B57</f>
        <v>0</v>
      </c>
      <c r="E59" s="13">
        <f>Reference!C57</f>
        <v>0</v>
      </c>
      <c r="F59" s="13">
        <f>Reference!D57</f>
        <v>0</v>
      </c>
      <c r="G59" s="13">
        <f>Reference!E57</f>
        <v>0</v>
      </c>
      <c r="H59" s="13">
        <f>Reference!F57</f>
        <v>0</v>
      </c>
      <c r="I59" s="13">
        <f>Reference!G57</f>
        <v>0</v>
      </c>
      <c r="J59" s="14">
        <f t="shared" si="11"/>
        <v>0</v>
      </c>
      <c r="L59" s="12">
        <f>Test!B57</f>
        <v>0</v>
      </c>
      <c r="M59" s="13">
        <f>Test!C57</f>
        <v>0</v>
      </c>
      <c r="N59" s="13">
        <f>Test!D57</f>
        <v>0</v>
      </c>
      <c r="O59" s="13">
        <f>Test!E57</f>
        <v>0</v>
      </c>
      <c r="P59" s="13">
        <f>Test!F57</f>
        <v>0</v>
      </c>
      <c r="Q59" s="13">
        <f>Test!G57</f>
        <v>0</v>
      </c>
      <c r="R59" s="13">
        <f t="shared" si="12"/>
        <v>0</v>
      </c>
      <c r="S59" s="12" t="e">
        <f t="shared" si="13"/>
        <v>#DIV/0!</v>
      </c>
      <c r="T59" s="13" t="e">
        <f t="shared" si="14"/>
        <v>#DIV/0!</v>
      </c>
      <c r="U59" s="90"/>
      <c r="V59" s="42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 t="s">
        <v>372</v>
      </c>
      <c r="B60" s="85"/>
      <c r="C60" s="16">
        <v>32</v>
      </c>
      <c r="D60" s="17">
        <f>Reference!B58</f>
        <v>0</v>
      </c>
      <c r="E60" s="18">
        <f>Reference!C58</f>
        <v>0</v>
      </c>
      <c r="F60" s="18">
        <f>Reference!D58</f>
        <v>0</v>
      </c>
      <c r="G60" s="18">
        <f>Reference!E58</f>
        <v>0</v>
      </c>
      <c r="H60" s="18">
        <f>Reference!F58</f>
        <v>0</v>
      </c>
      <c r="I60" s="18">
        <f>Reference!G58</f>
        <v>0</v>
      </c>
      <c r="J60" s="19">
        <f t="shared" si="11"/>
        <v>0</v>
      </c>
      <c r="L60" s="17">
        <f>Test!B58</f>
        <v>0</v>
      </c>
      <c r="M60" s="18">
        <f>Test!C58</f>
        <v>0</v>
      </c>
      <c r="N60" s="18">
        <f>Test!D58</f>
        <v>0</v>
      </c>
      <c r="O60" s="18">
        <f>Test!E58</f>
        <v>0</v>
      </c>
      <c r="P60" s="18">
        <f>Test!F58</f>
        <v>0</v>
      </c>
      <c r="Q60" s="18">
        <f>Test!G58</f>
        <v>0</v>
      </c>
      <c r="R60" s="18">
        <f t="shared" si="12"/>
        <v>0</v>
      </c>
      <c r="S60" s="17" t="e">
        <f t="shared" si="13"/>
        <v>#DIV/0!</v>
      </c>
      <c r="T60" s="18" t="e">
        <f t="shared" si="14"/>
        <v>#DIV/0!</v>
      </c>
      <c r="U60" s="91"/>
      <c r="V60" s="25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Reference!B59</f>
        <v>0</v>
      </c>
      <c r="E61" s="18">
        <f>Reference!C59</f>
        <v>0</v>
      </c>
      <c r="F61" s="18">
        <f>Reference!D59</f>
        <v>0</v>
      </c>
      <c r="G61" s="18">
        <f>Reference!E59</f>
        <v>0</v>
      </c>
      <c r="H61" s="18">
        <f>Reference!F59</f>
        <v>0</v>
      </c>
      <c r="I61" s="18">
        <f>Reference!G59</f>
        <v>0</v>
      </c>
      <c r="J61" s="19">
        <f t="shared" si="11"/>
        <v>0</v>
      </c>
      <c r="L61" s="17">
        <f>Test!B59</f>
        <v>0</v>
      </c>
      <c r="M61" s="18">
        <f>Test!C59</f>
        <v>0</v>
      </c>
      <c r="N61" s="18">
        <f>Test!D59</f>
        <v>0</v>
      </c>
      <c r="O61" s="18">
        <f>Test!E59</f>
        <v>0</v>
      </c>
      <c r="P61" s="18">
        <f>Test!F59</f>
        <v>0</v>
      </c>
      <c r="Q61" s="18">
        <f>Test!G59</f>
        <v>0</v>
      </c>
      <c r="R61" s="18">
        <f t="shared" si="12"/>
        <v>0</v>
      </c>
      <c r="S61" s="17" t="e">
        <f t="shared" si="13"/>
        <v>#DIV/0!</v>
      </c>
      <c r="T61" s="18" t="e">
        <f t="shared" si="14"/>
        <v>#DIV/0!</v>
      </c>
      <c r="U61" s="91"/>
      <c r="V61" s="25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Reference!B60</f>
        <v>0</v>
      </c>
      <c r="E62" s="23">
        <f>Reference!C60</f>
        <v>0</v>
      </c>
      <c r="F62" s="23">
        <f>Reference!D60</f>
        <v>0</v>
      </c>
      <c r="G62" s="23">
        <f>Reference!E60</f>
        <v>0</v>
      </c>
      <c r="H62" s="23">
        <f>Reference!F60</f>
        <v>0</v>
      </c>
      <c r="I62" s="23">
        <f>Reference!G60</f>
        <v>0</v>
      </c>
      <c r="J62" s="24">
        <f t="shared" si="11"/>
        <v>0</v>
      </c>
      <c r="L62" s="22">
        <f>Test!B60</f>
        <v>0</v>
      </c>
      <c r="M62" s="23">
        <f>Test!C60</f>
        <v>0</v>
      </c>
      <c r="N62" s="23">
        <f>Test!D60</f>
        <v>0</v>
      </c>
      <c r="O62" s="23">
        <f>Test!E60</f>
        <v>0</v>
      </c>
      <c r="P62" s="23">
        <f>Test!F60</f>
        <v>0</v>
      </c>
      <c r="Q62" s="23">
        <f>Test!G60</f>
        <v>0</v>
      </c>
      <c r="R62" s="23">
        <f t="shared" si="12"/>
        <v>0</v>
      </c>
      <c r="S62" s="17" t="e">
        <f t="shared" si="13"/>
        <v>#DIV/0!</v>
      </c>
      <c r="T62" s="18" t="e">
        <f t="shared" si="14"/>
        <v>#DIV/0!</v>
      </c>
      <c r="U62" s="91"/>
      <c r="V62" s="51"/>
      <c r="W62" s="51"/>
      <c r="X62" s="51"/>
      <c r="Y62" s="39"/>
      <c r="Z62" s="51"/>
      <c r="AA62" s="52"/>
    </row>
    <row r="63" spans="1:27" x14ac:dyDescent="0.2">
      <c r="A63" s="16"/>
      <c r="B63" s="48" t="s">
        <v>368</v>
      </c>
      <c r="C63" s="11">
        <v>27</v>
      </c>
      <c r="D63" s="12">
        <f>Reference!B61</f>
        <v>0</v>
      </c>
      <c r="E63" s="13">
        <f>Reference!C61</f>
        <v>0</v>
      </c>
      <c r="F63" s="13">
        <f>Reference!D61</f>
        <v>0</v>
      </c>
      <c r="G63" s="13">
        <f>Reference!E61</f>
        <v>0</v>
      </c>
      <c r="H63" s="13">
        <f>Reference!F61</f>
        <v>0</v>
      </c>
      <c r="I63" s="13">
        <f>Reference!G61</f>
        <v>0</v>
      </c>
      <c r="J63" s="14">
        <f t="shared" si="11"/>
        <v>0</v>
      </c>
      <c r="L63" s="12">
        <f>Test!B61</f>
        <v>0</v>
      </c>
      <c r="M63" s="13">
        <f>Test!C61</f>
        <v>0</v>
      </c>
      <c r="N63" s="13">
        <f>Test!D61</f>
        <v>0</v>
      </c>
      <c r="O63" s="13">
        <f>Test!E61</f>
        <v>0</v>
      </c>
      <c r="P63" s="13">
        <f>Test!F61</f>
        <v>0</v>
      </c>
      <c r="Q63" s="13">
        <f>Test!G61</f>
        <v>0</v>
      </c>
      <c r="R63" s="13">
        <f t="shared" si="12"/>
        <v>0</v>
      </c>
      <c r="S63" s="17" t="e">
        <f t="shared" si="13"/>
        <v>#DIV/0!</v>
      </c>
      <c r="T63" s="18" t="e">
        <f t="shared" si="14"/>
        <v>#DIV/0!</v>
      </c>
      <c r="U63" s="91"/>
      <c r="V63" s="42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Reference!B62</f>
        <v>0</v>
      </c>
      <c r="E64" s="18">
        <f>Reference!C62</f>
        <v>0</v>
      </c>
      <c r="F64" s="18">
        <f>Reference!D62</f>
        <v>0</v>
      </c>
      <c r="G64" s="18">
        <f>Reference!E62</f>
        <v>0</v>
      </c>
      <c r="H64" s="18">
        <f>Reference!F62</f>
        <v>0</v>
      </c>
      <c r="I64" s="18">
        <f>Reference!G62</f>
        <v>0</v>
      </c>
      <c r="J64" s="19">
        <f t="shared" si="11"/>
        <v>0</v>
      </c>
      <c r="L64" s="17">
        <f>Test!B62</f>
        <v>0</v>
      </c>
      <c r="M64" s="18">
        <f>Test!C62</f>
        <v>0</v>
      </c>
      <c r="N64" s="18">
        <f>Test!D62</f>
        <v>0</v>
      </c>
      <c r="O64" s="18">
        <f>Test!E62</f>
        <v>0</v>
      </c>
      <c r="P64" s="18">
        <f>Test!F62</f>
        <v>0</v>
      </c>
      <c r="Q64" s="18">
        <f>Test!G62</f>
        <v>0</v>
      </c>
      <c r="R64" s="18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25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Reference!B63</f>
        <v>0</v>
      </c>
      <c r="E65" s="18">
        <f>Reference!C63</f>
        <v>0</v>
      </c>
      <c r="F65" s="18">
        <f>Reference!D63</f>
        <v>0</v>
      </c>
      <c r="G65" s="18">
        <f>Reference!E63</f>
        <v>0</v>
      </c>
      <c r="H65" s="18">
        <f>Reference!F63</f>
        <v>0</v>
      </c>
      <c r="I65" s="18">
        <f>Reference!G63</f>
        <v>0</v>
      </c>
      <c r="J65" s="19">
        <f t="shared" si="11"/>
        <v>0</v>
      </c>
      <c r="L65" s="17">
        <f>Test!B63</f>
        <v>0</v>
      </c>
      <c r="M65" s="18">
        <f>Test!C63</f>
        <v>0</v>
      </c>
      <c r="N65" s="18">
        <f>Test!D63</f>
        <v>0</v>
      </c>
      <c r="O65" s="18">
        <f>Test!E63</f>
        <v>0</v>
      </c>
      <c r="P65" s="18">
        <f>Test!F63</f>
        <v>0</v>
      </c>
      <c r="Q65" s="18">
        <f>Test!G63</f>
        <v>0</v>
      </c>
      <c r="R65" s="18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25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Reference!B64</f>
        <v>0</v>
      </c>
      <c r="E66" s="23">
        <f>Reference!C64</f>
        <v>0</v>
      </c>
      <c r="F66" s="23">
        <f>Reference!D64</f>
        <v>0</v>
      </c>
      <c r="G66" s="23">
        <f>Reference!E64</f>
        <v>0</v>
      </c>
      <c r="H66" s="23">
        <f>Reference!F64</f>
        <v>0</v>
      </c>
      <c r="I66" s="23">
        <f>Reference!G64</f>
        <v>0</v>
      </c>
      <c r="J66" s="24">
        <f t="shared" si="11"/>
        <v>0</v>
      </c>
      <c r="L66" s="22">
        <f>Test!B64</f>
        <v>0</v>
      </c>
      <c r="M66" s="23">
        <f>Test!C64</f>
        <v>0</v>
      </c>
      <c r="N66" s="23">
        <f>Test!D64</f>
        <v>0</v>
      </c>
      <c r="O66" s="23">
        <f>Test!E64</f>
        <v>0</v>
      </c>
      <c r="P66" s="23">
        <f>Test!F64</f>
        <v>0</v>
      </c>
      <c r="Q66" s="23">
        <f>Test!G64</f>
        <v>0</v>
      </c>
      <c r="R66" s="23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51"/>
      <c r="W66" s="51"/>
      <c r="X66" s="51"/>
      <c r="Y66" s="39"/>
      <c r="Z66" s="51"/>
      <c r="AA66" s="52"/>
    </row>
    <row r="67" spans="1:27" x14ac:dyDescent="0.2">
      <c r="A67" s="16"/>
      <c r="B67" s="48" t="s">
        <v>369</v>
      </c>
      <c r="C67" s="11">
        <v>27</v>
      </c>
      <c r="D67" s="12">
        <f>Reference!B65</f>
        <v>0</v>
      </c>
      <c r="E67" s="13">
        <f>Reference!C65</f>
        <v>0</v>
      </c>
      <c r="F67" s="13">
        <f>Reference!D65</f>
        <v>0</v>
      </c>
      <c r="G67" s="13">
        <f>Reference!E65</f>
        <v>0</v>
      </c>
      <c r="H67" s="13">
        <f>Reference!F65</f>
        <v>0</v>
      </c>
      <c r="I67" s="13">
        <f>Reference!G65</f>
        <v>0</v>
      </c>
      <c r="J67" s="14">
        <f t="shared" si="11"/>
        <v>0</v>
      </c>
      <c r="L67" s="12">
        <f>Test!B65</f>
        <v>0</v>
      </c>
      <c r="M67" s="13">
        <f>Test!C65</f>
        <v>0</v>
      </c>
      <c r="N67" s="13">
        <f>Test!D65</f>
        <v>0</v>
      </c>
      <c r="O67" s="13">
        <f>Test!E65</f>
        <v>0</v>
      </c>
      <c r="P67" s="13">
        <f>Test!F65</f>
        <v>0</v>
      </c>
      <c r="Q67" s="13">
        <f>Test!G65</f>
        <v>0</v>
      </c>
      <c r="R67" s="13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42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Reference!B66</f>
        <v>0</v>
      </c>
      <c r="E68" s="18">
        <f>Reference!C66</f>
        <v>0</v>
      </c>
      <c r="F68" s="18">
        <f>Reference!D66</f>
        <v>0</v>
      </c>
      <c r="G68" s="18">
        <f>Reference!E66</f>
        <v>0</v>
      </c>
      <c r="H68" s="18">
        <f>Reference!F66</f>
        <v>0</v>
      </c>
      <c r="I68" s="18">
        <f>Reference!G66</f>
        <v>0</v>
      </c>
      <c r="J68" s="19">
        <f t="shared" si="11"/>
        <v>0</v>
      </c>
      <c r="L68" s="17">
        <f>Test!B66</f>
        <v>0</v>
      </c>
      <c r="M68" s="18">
        <f>Test!C66</f>
        <v>0</v>
      </c>
      <c r="N68" s="18">
        <f>Test!D66</f>
        <v>0</v>
      </c>
      <c r="O68" s="18">
        <f>Test!E66</f>
        <v>0</v>
      </c>
      <c r="P68" s="18">
        <f>Test!F66</f>
        <v>0</v>
      </c>
      <c r="Q68" s="18">
        <f>Test!G66</f>
        <v>0</v>
      </c>
      <c r="R68" s="18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25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Reference!B67</f>
        <v>0</v>
      </c>
      <c r="E69" s="18">
        <f>Reference!C67</f>
        <v>0</v>
      </c>
      <c r="F69" s="18">
        <f>Reference!D67</f>
        <v>0</v>
      </c>
      <c r="G69" s="18">
        <f>Reference!E67</f>
        <v>0</v>
      </c>
      <c r="H69" s="18">
        <f>Reference!F67</f>
        <v>0</v>
      </c>
      <c r="I69" s="18">
        <f>Reference!G67</f>
        <v>0</v>
      </c>
      <c r="J69" s="19">
        <f t="shared" si="11"/>
        <v>0</v>
      </c>
      <c r="L69" s="17">
        <f>Test!B67</f>
        <v>0</v>
      </c>
      <c r="M69" s="18">
        <f>Test!C67</f>
        <v>0</v>
      </c>
      <c r="N69" s="18">
        <f>Test!D67</f>
        <v>0</v>
      </c>
      <c r="O69" s="18">
        <f>Test!E67</f>
        <v>0</v>
      </c>
      <c r="P69" s="18">
        <f>Test!F67</f>
        <v>0</v>
      </c>
      <c r="Q69" s="18">
        <f>Test!G67</f>
        <v>0</v>
      </c>
      <c r="R69" s="18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25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Reference!B68</f>
        <v>0</v>
      </c>
      <c r="E70" s="23">
        <f>Reference!C68</f>
        <v>0</v>
      </c>
      <c r="F70" s="23">
        <f>Reference!D68</f>
        <v>0</v>
      </c>
      <c r="G70" s="23">
        <f>Reference!E68</f>
        <v>0</v>
      </c>
      <c r="H70" s="23">
        <f>Reference!F68</f>
        <v>0</v>
      </c>
      <c r="I70" s="23">
        <f>Reference!G68</f>
        <v>0</v>
      </c>
      <c r="J70" s="24">
        <f t="shared" si="11"/>
        <v>0</v>
      </c>
      <c r="L70" s="22">
        <f>Test!B68</f>
        <v>0</v>
      </c>
      <c r="M70" s="23">
        <f>Test!C68</f>
        <v>0</v>
      </c>
      <c r="N70" s="23">
        <f>Test!D68</f>
        <v>0</v>
      </c>
      <c r="O70" s="23">
        <f>Test!E68</f>
        <v>0</v>
      </c>
      <c r="P70" s="23">
        <f>Test!F68</f>
        <v>0</v>
      </c>
      <c r="Q70" s="23">
        <f>Test!G68</f>
        <v>0</v>
      </c>
      <c r="R70" s="23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51"/>
      <c r="W70" s="51"/>
      <c r="X70" s="51"/>
      <c r="Y70" s="39"/>
      <c r="Z70" s="51"/>
      <c r="AA70" s="52"/>
    </row>
    <row r="71" spans="1:27" x14ac:dyDescent="0.2">
      <c r="A71" s="16"/>
      <c r="B71" s="48" t="s">
        <v>370</v>
      </c>
      <c r="C71" s="11">
        <v>27</v>
      </c>
      <c r="D71" s="12">
        <f>Reference!B69</f>
        <v>0</v>
      </c>
      <c r="E71" s="13">
        <f>Reference!C69</f>
        <v>0</v>
      </c>
      <c r="F71" s="13">
        <f>Reference!D69</f>
        <v>0</v>
      </c>
      <c r="G71" s="13">
        <f>Reference!E69</f>
        <v>0</v>
      </c>
      <c r="H71" s="13">
        <f>Reference!F69</f>
        <v>0</v>
      </c>
      <c r="I71" s="13">
        <f>Reference!G69</f>
        <v>0</v>
      </c>
      <c r="J71" s="14">
        <f>H71/3600</f>
        <v>0</v>
      </c>
      <c r="L71" s="12">
        <f>Test!B69</f>
        <v>0</v>
      </c>
      <c r="M71" s="13">
        <f>Test!C69</f>
        <v>0</v>
      </c>
      <c r="N71" s="13">
        <f>Test!D69</f>
        <v>0</v>
      </c>
      <c r="O71" s="13">
        <f>Test!E69</f>
        <v>0</v>
      </c>
      <c r="P71" s="13">
        <f>Test!F69</f>
        <v>0</v>
      </c>
      <c r="Q71" s="13">
        <f>Test!G69</f>
        <v>0</v>
      </c>
      <c r="R71" s="13">
        <f>P71/3600</f>
        <v>0</v>
      </c>
      <c r="S71" s="17" t="e">
        <f>P71/H71</f>
        <v>#DIV/0!</v>
      </c>
      <c r="T71" s="18" t="e">
        <f>Q71/I71</f>
        <v>#DIV/0!</v>
      </c>
      <c r="U71" s="91"/>
      <c r="V71" s="42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Reference!B70</f>
        <v>0</v>
      </c>
      <c r="E72" s="18">
        <f>Reference!C70</f>
        <v>0</v>
      </c>
      <c r="F72" s="18">
        <f>Reference!D70</f>
        <v>0</v>
      </c>
      <c r="G72" s="18">
        <f>Reference!E70</f>
        <v>0</v>
      </c>
      <c r="H72" s="18">
        <f>Reference!F70</f>
        <v>0</v>
      </c>
      <c r="I72" s="18">
        <f>Reference!G70</f>
        <v>0</v>
      </c>
      <c r="J72" s="19">
        <f t="shared" ref="J72:J74" si="15">H72/3600</f>
        <v>0</v>
      </c>
      <c r="L72" s="17">
        <f>Test!B70</f>
        <v>0</v>
      </c>
      <c r="M72" s="18">
        <f>Test!C70</f>
        <v>0</v>
      </c>
      <c r="N72" s="18">
        <f>Test!D70</f>
        <v>0</v>
      </c>
      <c r="O72" s="18">
        <f>Test!E70</f>
        <v>0</v>
      </c>
      <c r="P72" s="18">
        <f>Test!F70</f>
        <v>0</v>
      </c>
      <c r="Q72" s="18">
        <f>Test!G70</f>
        <v>0</v>
      </c>
      <c r="R72" s="18">
        <f t="shared" ref="R72:R74" si="16">P72/3600</f>
        <v>0</v>
      </c>
      <c r="S72" s="17" t="e">
        <f t="shared" ref="S72:S74" si="17">P72/H72</f>
        <v>#DIV/0!</v>
      </c>
      <c r="T72" s="18" t="e">
        <f t="shared" ref="T72:T74" si="18">Q72/I72</f>
        <v>#DIV/0!</v>
      </c>
      <c r="U72" s="91"/>
      <c r="V72" s="25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Reference!B71</f>
        <v>0</v>
      </c>
      <c r="E73" s="18">
        <f>Reference!C71</f>
        <v>0</v>
      </c>
      <c r="F73" s="18">
        <f>Reference!D71</f>
        <v>0</v>
      </c>
      <c r="G73" s="18">
        <f>Reference!E71</f>
        <v>0</v>
      </c>
      <c r="H73" s="18">
        <f>Reference!F71</f>
        <v>0</v>
      </c>
      <c r="I73" s="18">
        <f>Reference!G71</f>
        <v>0</v>
      </c>
      <c r="J73" s="19">
        <f t="shared" si="15"/>
        <v>0</v>
      </c>
      <c r="L73" s="17">
        <f>Test!B71</f>
        <v>0</v>
      </c>
      <c r="M73" s="18">
        <f>Test!C71</f>
        <v>0</v>
      </c>
      <c r="N73" s="18">
        <f>Test!D71</f>
        <v>0</v>
      </c>
      <c r="O73" s="18">
        <f>Test!E71</f>
        <v>0</v>
      </c>
      <c r="P73" s="18">
        <f>Test!F71</f>
        <v>0</v>
      </c>
      <c r="Q73" s="18">
        <f>Test!G71</f>
        <v>0</v>
      </c>
      <c r="R73" s="18">
        <f t="shared" si="16"/>
        <v>0</v>
      </c>
      <c r="S73" s="17" t="e">
        <f t="shared" si="17"/>
        <v>#DIV/0!</v>
      </c>
      <c r="T73" s="18" t="e">
        <f t="shared" si="18"/>
        <v>#DIV/0!</v>
      </c>
      <c r="U73" s="91"/>
      <c r="V73" s="25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Reference!B72</f>
        <v>0</v>
      </c>
      <c r="E74" s="23">
        <f>Reference!C72</f>
        <v>0</v>
      </c>
      <c r="F74" s="23">
        <f>Reference!D72</f>
        <v>0</v>
      </c>
      <c r="G74" s="23">
        <f>Reference!E72</f>
        <v>0</v>
      </c>
      <c r="H74" s="23">
        <f>Reference!F72</f>
        <v>0</v>
      </c>
      <c r="I74" s="23">
        <f>Reference!G72</f>
        <v>0</v>
      </c>
      <c r="J74" s="24">
        <f t="shared" si="15"/>
        <v>0</v>
      </c>
      <c r="L74" s="22">
        <f>Test!B72</f>
        <v>0</v>
      </c>
      <c r="M74" s="23">
        <f>Test!C72</f>
        <v>0</v>
      </c>
      <c r="N74" s="23">
        <f>Test!D72</f>
        <v>0</v>
      </c>
      <c r="O74" s="23">
        <f>Test!E72</f>
        <v>0</v>
      </c>
      <c r="P74" s="23">
        <f>Test!F72</f>
        <v>0</v>
      </c>
      <c r="Q74" s="23">
        <f>Test!G72</f>
        <v>0</v>
      </c>
      <c r="R74" s="23">
        <f t="shared" si="16"/>
        <v>0</v>
      </c>
      <c r="S74" s="22" t="e">
        <f t="shared" si="17"/>
        <v>#DIV/0!</v>
      </c>
      <c r="T74" s="23" t="e">
        <f t="shared" si="18"/>
        <v>#DIV/0!</v>
      </c>
      <c r="U74" s="92"/>
      <c r="V74" s="51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25.882410000085301</v>
      </c>
      <c r="J75" s="15">
        <f>GEOMEAN(J3:J18)</f>
        <v>17.677744146676414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9">AVERAGE(W3:W18)</f>
        <v>#VALUE!</v>
      </c>
      <c r="X75" s="42" t="e">
        <f t="shared" si="19"/>
        <v>#VALUE!</v>
      </c>
      <c r="Y75" s="37" t="e">
        <f>AVERAGE(Y3:Y18)</f>
        <v>#VALUE!</v>
      </c>
      <c r="Z75" s="42" t="e">
        <f t="shared" si="19"/>
        <v>#VALUE!</v>
      </c>
      <c r="AA75" s="43" t="e">
        <f t="shared" si="19"/>
        <v>#VALUE!</v>
      </c>
    </row>
    <row r="76" spans="1:27" x14ac:dyDescent="0.2">
      <c r="B76" s="89" t="s">
        <v>47</v>
      </c>
      <c r="I76" s="15">
        <f>GEOMEAN(I19:I34)</f>
        <v>12.771121661574076</v>
      </c>
      <c r="J76" s="15">
        <f>GEOMEAN(J19:J34)</f>
        <v>10.229759875908101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40" t="e">
        <f>AVERAGE(V19:V34)</f>
        <v>#VALUE!</v>
      </c>
      <c r="W76" s="44" t="e">
        <f t="shared" ref="W76:AA76" si="20">AVERAGE(W19:W34)</f>
        <v>#VALUE!</v>
      </c>
      <c r="X76" s="44" t="e">
        <f t="shared" si="20"/>
        <v>#VALUE!</v>
      </c>
      <c r="Y76" s="40" t="e">
        <f t="shared" si="20"/>
        <v>#VALUE!</v>
      </c>
      <c r="Z76" s="44" t="e">
        <f t="shared" si="20"/>
        <v>#VALUE!</v>
      </c>
      <c r="AA76" s="45" t="e">
        <f t="shared" si="20"/>
        <v>#VALUE!</v>
      </c>
    </row>
    <row r="77" spans="1:27" x14ac:dyDescent="0.2">
      <c r="B77" s="89" t="s">
        <v>51</v>
      </c>
      <c r="I77" s="15">
        <f>GEOMEAN(I35:I50)</f>
        <v>6.157696209238984</v>
      </c>
      <c r="J77" s="15">
        <f>GEOMEAN(J35:J50)</f>
        <v>4.888109983390982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#NUM!</v>
      </c>
      <c r="T77" s="15" t="e">
        <f>GEOMEAN(T35:T50)</f>
        <v>#NUM!</v>
      </c>
      <c r="V77" s="40" t="e">
        <f>AVERAGE(V35:V50)</f>
        <v>#VALUE!</v>
      </c>
      <c r="W77" s="44" t="e">
        <f t="shared" ref="W77:AA77" si="21">AVERAGE(W35:W50)</f>
        <v>#VALUE!</v>
      </c>
      <c r="X77" s="44" t="e">
        <f t="shared" si="21"/>
        <v>#VALUE!</v>
      </c>
      <c r="Y77" s="40" t="e">
        <f t="shared" si="21"/>
        <v>#VALUE!</v>
      </c>
      <c r="Z77" s="44" t="e">
        <f t="shared" si="21"/>
        <v>#VALUE!</v>
      </c>
      <c r="AA77" s="45" t="e">
        <f t="shared" si="21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22">AVERAGE(W51:W58)</f>
        <v>#VALUE!</v>
      </c>
      <c r="X78" s="44" t="e">
        <f t="shared" si="22"/>
        <v>#VALUE!</v>
      </c>
      <c r="Y78" s="40" t="e">
        <f t="shared" si="22"/>
        <v>#VALUE!</v>
      </c>
      <c r="Z78" s="44" t="e">
        <f t="shared" si="22"/>
        <v>#VALUE!</v>
      </c>
      <c r="AA78" s="45" t="e">
        <f t="shared" si="22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3">GEOMEAN(S59:S74)</f>
        <v>#DIV/0!</v>
      </c>
      <c r="T79" s="15" t="e">
        <f t="shared" si="23"/>
        <v>#DIV/0!</v>
      </c>
      <c r="V79" s="40" t="e">
        <f>AVERAGE(V59:V74)</f>
        <v>#VALUE!</v>
      </c>
      <c r="W79" s="44" t="e">
        <f t="shared" ref="W79:AA79" si="24">AVERAGE(W59:W74)</f>
        <v>#VALUE!</v>
      </c>
      <c r="X79" s="44" t="e">
        <f t="shared" si="24"/>
        <v>#VALUE!</v>
      </c>
      <c r="Y79" s="40" t="e">
        <f t="shared" si="24"/>
        <v>#VALUE!</v>
      </c>
      <c r="Z79" s="44" t="e">
        <f t="shared" si="24"/>
        <v>#VALUE!</v>
      </c>
      <c r="AA79" s="45" t="e">
        <f t="shared" si="24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12.673133348336885</v>
      </c>
      <c r="J80" s="54">
        <f xml:space="preserve"> GEOMEAN(J3:J50)</f>
        <v>9.5971971759276364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 xml:space="preserve"> 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5">AVERAGE(W3:W50)</f>
        <v>#VALUE!</v>
      </c>
      <c r="X80" s="47" t="e">
        <f t="shared" si="25"/>
        <v>#VALUE!</v>
      </c>
      <c r="Y80" s="46" t="e">
        <f t="shared" si="25"/>
        <v>#VALUE!</v>
      </c>
      <c r="Z80" s="46" t="e">
        <f t="shared" si="25"/>
        <v>#VALUE!</v>
      </c>
      <c r="AA80" s="47" t="e">
        <f t="shared" si="25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1">
    <cfRule type="cellIs" dxfId="707" priority="1205" operator="greaterThan">
      <formula>0.03</formula>
    </cfRule>
    <cfRule type="cellIs" dxfId="706" priority="1206" stopIfTrue="1" operator="lessThan">
      <formula>-0.03</formula>
    </cfRule>
  </conditionalFormatting>
  <conditionalFormatting sqref="V3:X14">
    <cfRule type="cellIs" dxfId="705" priority="1219" operator="greaterThan">
      <formula>0.03</formula>
    </cfRule>
    <cfRule type="cellIs" dxfId="704" priority="1220" stopIfTrue="1" operator="lessThan">
      <formula>-0.03</formula>
    </cfRule>
  </conditionalFormatting>
  <conditionalFormatting sqref="Y3">
    <cfRule type="cellIs" dxfId="703" priority="1217" operator="greaterThan">
      <formula>0.03</formula>
    </cfRule>
    <cfRule type="cellIs" dxfId="702" priority="1218" stopIfTrue="1" operator="lessThan">
      <formula>-0.03</formula>
    </cfRule>
  </conditionalFormatting>
  <conditionalFormatting sqref="Z3">
    <cfRule type="cellIs" dxfId="701" priority="1215" operator="greaterThan">
      <formula>0.03</formula>
    </cfRule>
    <cfRule type="cellIs" dxfId="700" priority="1216" stopIfTrue="1" operator="lessThan">
      <formula>-0.03</formula>
    </cfRule>
  </conditionalFormatting>
  <conditionalFormatting sqref="AA3">
    <cfRule type="cellIs" dxfId="699" priority="1213" operator="greaterThan">
      <formula>0.03</formula>
    </cfRule>
    <cfRule type="cellIs" dxfId="698" priority="1214" stopIfTrue="1" operator="lessThan">
      <formula>-0.03</formula>
    </cfRule>
  </conditionalFormatting>
  <conditionalFormatting sqref="Y7">
    <cfRule type="cellIs" dxfId="697" priority="1211" operator="greaterThan">
      <formula>0.03</formula>
    </cfRule>
    <cfRule type="cellIs" dxfId="696" priority="1212" stopIfTrue="1" operator="lessThan">
      <formula>-0.03</formula>
    </cfRule>
  </conditionalFormatting>
  <conditionalFormatting sqref="Z7">
    <cfRule type="cellIs" dxfId="695" priority="1209" operator="greaterThan">
      <formula>0.03</formula>
    </cfRule>
    <cfRule type="cellIs" dxfId="694" priority="1210" stopIfTrue="1" operator="lessThan">
      <formula>-0.03</formula>
    </cfRule>
  </conditionalFormatting>
  <conditionalFormatting sqref="AA7">
    <cfRule type="cellIs" dxfId="693" priority="1207" operator="greaterThan">
      <formula>0.03</formula>
    </cfRule>
    <cfRule type="cellIs" dxfId="692" priority="1208" stopIfTrue="1" operator="lessThan">
      <formula>-0.03</formula>
    </cfRule>
  </conditionalFormatting>
  <conditionalFormatting sqref="Z11">
    <cfRule type="cellIs" dxfId="691" priority="1203" operator="greaterThan">
      <formula>0.03</formula>
    </cfRule>
    <cfRule type="cellIs" dxfId="690" priority="1204" stopIfTrue="1" operator="lessThan">
      <formula>-0.03</formula>
    </cfRule>
  </conditionalFormatting>
  <conditionalFormatting sqref="AA11">
    <cfRule type="cellIs" dxfId="689" priority="1201" operator="greaterThan">
      <formula>0.03</formula>
    </cfRule>
    <cfRule type="cellIs" dxfId="688" priority="1202" stopIfTrue="1" operator="lessThan">
      <formula>-0.03</formula>
    </cfRule>
  </conditionalFormatting>
  <conditionalFormatting sqref="Y14:Z14">
    <cfRule type="cellIs" dxfId="687" priority="1129" operator="greaterThan">
      <formula>0.03</formula>
    </cfRule>
    <cfRule type="cellIs" dxfId="686" priority="1130" stopIfTrue="1" operator="lessThan">
      <formula>-0.03</formula>
    </cfRule>
  </conditionalFormatting>
  <conditionalFormatting sqref="Y6:Z6">
    <cfRule type="cellIs" dxfId="685" priority="1133" operator="greaterThan">
      <formula>0.03</formula>
    </cfRule>
    <cfRule type="cellIs" dxfId="684" priority="1134" stopIfTrue="1" operator="lessThan">
      <formula>-0.03</formula>
    </cfRule>
  </conditionalFormatting>
  <conditionalFormatting sqref="Y10:Z10">
    <cfRule type="cellIs" dxfId="683" priority="1131" operator="greaterThan">
      <formula>0.03</formula>
    </cfRule>
    <cfRule type="cellIs" dxfId="682" priority="1132" stopIfTrue="1" operator="lessThan">
      <formula>-0.03</formula>
    </cfRule>
  </conditionalFormatting>
  <conditionalFormatting sqref="V80:AA80">
    <cfRule type="cellIs" dxfId="681" priority="603" operator="greaterThan">
      <formula>0.03</formula>
    </cfRule>
    <cfRule type="cellIs" dxfId="680" priority="604" stopIfTrue="1" operator="lessThan">
      <formula>-0.03</formula>
    </cfRule>
  </conditionalFormatting>
  <conditionalFormatting sqref="Y23">
    <cfRule type="cellIs" dxfId="679" priority="475" operator="greaterThan">
      <formula>0.03</formula>
    </cfRule>
    <cfRule type="cellIs" dxfId="678" priority="476" stopIfTrue="1" operator="lessThan">
      <formula>-0.03</formula>
    </cfRule>
  </conditionalFormatting>
  <conditionalFormatting sqref="V15:X26">
    <cfRule type="cellIs" dxfId="677" priority="489" operator="greaterThan">
      <formula>0.03</formula>
    </cfRule>
    <cfRule type="cellIs" dxfId="676" priority="490" stopIfTrue="1" operator="lessThan">
      <formula>-0.03</formula>
    </cfRule>
  </conditionalFormatting>
  <conditionalFormatting sqref="Y15">
    <cfRule type="cellIs" dxfId="675" priority="487" operator="greaterThan">
      <formula>0.03</formula>
    </cfRule>
    <cfRule type="cellIs" dxfId="674" priority="488" stopIfTrue="1" operator="lessThan">
      <formula>-0.03</formula>
    </cfRule>
  </conditionalFormatting>
  <conditionalFormatting sqref="Z15">
    <cfRule type="cellIs" dxfId="673" priority="485" operator="greaterThan">
      <formula>0.03</formula>
    </cfRule>
    <cfRule type="cellIs" dxfId="672" priority="486" stopIfTrue="1" operator="lessThan">
      <formula>-0.03</formula>
    </cfRule>
  </conditionalFormatting>
  <conditionalFormatting sqref="AA15">
    <cfRule type="cellIs" dxfId="671" priority="483" operator="greaterThan">
      <formula>0.03</formula>
    </cfRule>
    <cfRule type="cellIs" dxfId="670" priority="484" stopIfTrue="1" operator="lessThan">
      <formula>-0.03</formula>
    </cfRule>
  </conditionalFormatting>
  <conditionalFormatting sqref="Y19">
    <cfRule type="cellIs" dxfId="669" priority="481" operator="greaterThan">
      <formula>0.03</formula>
    </cfRule>
    <cfRule type="cellIs" dxfId="668" priority="482" stopIfTrue="1" operator="lessThan">
      <formula>-0.03</formula>
    </cfRule>
  </conditionalFormatting>
  <conditionalFormatting sqref="Z19">
    <cfRule type="cellIs" dxfId="667" priority="479" operator="greaterThan">
      <formula>0.03</formula>
    </cfRule>
    <cfRule type="cellIs" dxfId="666" priority="480" stopIfTrue="1" operator="lessThan">
      <formula>-0.03</formula>
    </cfRule>
  </conditionalFormatting>
  <conditionalFormatting sqref="AA19">
    <cfRule type="cellIs" dxfId="665" priority="477" operator="greaterThan">
      <formula>0.03</formula>
    </cfRule>
    <cfRule type="cellIs" dxfId="664" priority="478" stopIfTrue="1" operator="lessThan">
      <formula>-0.03</formula>
    </cfRule>
  </conditionalFormatting>
  <conditionalFormatting sqref="Z23">
    <cfRule type="cellIs" dxfId="663" priority="473" operator="greaterThan">
      <formula>0.03</formula>
    </cfRule>
    <cfRule type="cellIs" dxfId="662" priority="474" stopIfTrue="1" operator="lessThan">
      <formula>-0.03</formula>
    </cfRule>
  </conditionalFormatting>
  <conditionalFormatting sqref="AA23">
    <cfRule type="cellIs" dxfId="661" priority="471" operator="greaterThan">
      <formula>0.03</formula>
    </cfRule>
    <cfRule type="cellIs" dxfId="660" priority="472" stopIfTrue="1" operator="lessThan">
      <formula>-0.03</formula>
    </cfRule>
  </conditionalFormatting>
  <conditionalFormatting sqref="Y26:Z26">
    <cfRule type="cellIs" dxfId="659" priority="459" operator="greaterThan">
      <formula>0.03</formula>
    </cfRule>
    <cfRule type="cellIs" dxfId="658" priority="460" stopIfTrue="1" operator="lessThan">
      <formula>-0.03</formula>
    </cfRule>
  </conditionalFormatting>
  <conditionalFormatting sqref="Y18:Z18">
    <cfRule type="cellIs" dxfId="657" priority="463" operator="greaterThan">
      <formula>0.03</formula>
    </cfRule>
    <cfRule type="cellIs" dxfId="656" priority="464" stopIfTrue="1" operator="lessThan">
      <formula>-0.03</formula>
    </cfRule>
  </conditionalFormatting>
  <conditionalFormatting sqref="Y22:Z22">
    <cfRule type="cellIs" dxfId="655" priority="461" operator="greaterThan">
      <formula>0.03</formula>
    </cfRule>
    <cfRule type="cellIs" dxfId="654" priority="462" stopIfTrue="1" operator="lessThan">
      <formula>-0.03</formula>
    </cfRule>
  </conditionalFormatting>
  <conditionalFormatting sqref="V27:X30">
    <cfRule type="cellIs" dxfId="653" priority="415" operator="greaterThan">
      <formula>0.03</formula>
    </cfRule>
    <cfRule type="cellIs" dxfId="652" priority="416" stopIfTrue="1" operator="lessThan">
      <formula>-0.03</formula>
    </cfRule>
  </conditionalFormatting>
  <conditionalFormatting sqref="Y27">
    <cfRule type="cellIs" dxfId="651" priority="413" operator="greaterThan">
      <formula>0.03</formula>
    </cfRule>
    <cfRule type="cellIs" dxfId="650" priority="414" stopIfTrue="1" operator="lessThan">
      <formula>-0.03</formula>
    </cfRule>
  </conditionalFormatting>
  <conditionalFormatting sqref="Z27">
    <cfRule type="cellIs" dxfId="649" priority="411" operator="greaterThan">
      <formula>0.03</formula>
    </cfRule>
    <cfRule type="cellIs" dxfId="648" priority="412" stopIfTrue="1" operator="lessThan">
      <formula>-0.03</formula>
    </cfRule>
  </conditionalFormatting>
  <conditionalFormatting sqref="AA27">
    <cfRule type="cellIs" dxfId="647" priority="409" operator="greaterThan">
      <formula>0.03</formula>
    </cfRule>
    <cfRule type="cellIs" dxfId="646" priority="410" stopIfTrue="1" operator="lessThan">
      <formula>-0.03</formula>
    </cfRule>
  </conditionalFormatting>
  <conditionalFormatting sqref="Y30:Z30">
    <cfRule type="cellIs" dxfId="645" priority="407" operator="greaterThan">
      <formula>0.03</formula>
    </cfRule>
    <cfRule type="cellIs" dxfId="644" priority="408" stopIfTrue="1" operator="lessThan">
      <formula>-0.03</formula>
    </cfRule>
  </conditionalFormatting>
  <conditionalFormatting sqref="Y35">
    <cfRule type="cellIs" dxfId="643" priority="387" operator="greaterThan">
      <formula>0.03</formula>
    </cfRule>
    <cfRule type="cellIs" dxfId="642" priority="388" stopIfTrue="1" operator="lessThan">
      <formula>-0.03</formula>
    </cfRule>
  </conditionalFormatting>
  <conditionalFormatting sqref="V31:X38">
    <cfRule type="cellIs" dxfId="641" priority="395" operator="greaterThan">
      <formula>0.03</formula>
    </cfRule>
    <cfRule type="cellIs" dxfId="640" priority="396" stopIfTrue="1" operator="lessThan">
      <formula>-0.03</formula>
    </cfRule>
  </conditionalFormatting>
  <conditionalFormatting sqref="Y31">
    <cfRule type="cellIs" dxfId="639" priority="393" operator="greaterThan">
      <formula>0.03</formula>
    </cfRule>
    <cfRule type="cellIs" dxfId="638" priority="394" stopIfTrue="1" operator="lessThan">
      <formula>-0.03</formula>
    </cfRule>
  </conditionalFormatting>
  <conditionalFormatting sqref="Z31">
    <cfRule type="cellIs" dxfId="637" priority="391" operator="greaterThan">
      <formula>0.03</formula>
    </cfRule>
    <cfRule type="cellIs" dxfId="636" priority="392" stopIfTrue="1" operator="lessThan">
      <formula>-0.03</formula>
    </cfRule>
  </conditionalFormatting>
  <conditionalFormatting sqref="AA31">
    <cfRule type="cellIs" dxfId="635" priority="389" operator="greaterThan">
      <formula>0.03</formula>
    </cfRule>
    <cfRule type="cellIs" dxfId="634" priority="390" stopIfTrue="1" operator="lessThan">
      <formula>-0.03</formula>
    </cfRule>
  </conditionalFormatting>
  <conditionalFormatting sqref="Z35">
    <cfRule type="cellIs" dxfId="633" priority="385" operator="greaterThan">
      <formula>0.03</formula>
    </cfRule>
    <cfRule type="cellIs" dxfId="632" priority="386" stopIfTrue="1" operator="lessThan">
      <formula>-0.03</formula>
    </cfRule>
  </conditionalFormatting>
  <conditionalFormatting sqref="AA35">
    <cfRule type="cellIs" dxfId="631" priority="383" operator="greaterThan">
      <formula>0.03</formula>
    </cfRule>
    <cfRule type="cellIs" dxfId="630" priority="384" stopIfTrue="1" operator="lessThan">
      <formula>-0.03</formula>
    </cfRule>
  </conditionalFormatting>
  <conditionalFormatting sqref="Y38:Z38">
    <cfRule type="cellIs" dxfId="629" priority="379" operator="greaterThan">
      <formula>0.03</formula>
    </cfRule>
    <cfRule type="cellIs" dxfId="628" priority="380" stopIfTrue="1" operator="lessThan">
      <formula>-0.03</formula>
    </cfRule>
  </conditionalFormatting>
  <conditionalFormatting sqref="Y34:Z34">
    <cfRule type="cellIs" dxfId="627" priority="381" operator="greaterThan">
      <formula>0.03</formula>
    </cfRule>
    <cfRule type="cellIs" dxfId="626" priority="382" stopIfTrue="1" operator="lessThan">
      <formula>-0.03</formula>
    </cfRule>
  </conditionalFormatting>
  <conditionalFormatting sqref="Y43">
    <cfRule type="cellIs" dxfId="625" priority="349" operator="greaterThan">
      <formula>0.03</formula>
    </cfRule>
    <cfRule type="cellIs" dxfId="624" priority="350" stopIfTrue="1" operator="lessThan">
      <formula>-0.03</formula>
    </cfRule>
  </conditionalFormatting>
  <conditionalFormatting sqref="V39:X46">
    <cfRule type="cellIs" dxfId="623" priority="357" operator="greaterThan">
      <formula>0.03</formula>
    </cfRule>
    <cfRule type="cellIs" dxfId="622" priority="358" stopIfTrue="1" operator="lessThan">
      <formula>-0.03</formula>
    </cfRule>
  </conditionalFormatting>
  <conditionalFormatting sqref="Y39">
    <cfRule type="cellIs" dxfId="621" priority="355" operator="greaterThan">
      <formula>0.03</formula>
    </cfRule>
    <cfRule type="cellIs" dxfId="620" priority="356" stopIfTrue="1" operator="lessThan">
      <formula>-0.03</formula>
    </cfRule>
  </conditionalFormatting>
  <conditionalFormatting sqref="Z39">
    <cfRule type="cellIs" dxfId="619" priority="353" operator="greaterThan">
      <formula>0.03</formula>
    </cfRule>
    <cfRule type="cellIs" dxfId="618" priority="354" stopIfTrue="1" operator="lessThan">
      <formula>-0.03</formula>
    </cfRule>
  </conditionalFormatting>
  <conditionalFormatting sqref="AA39">
    <cfRule type="cellIs" dxfId="617" priority="351" operator="greaterThan">
      <formula>0.03</formula>
    </cfRule>
    <cfRule type="cellIs" dxfId="616" priority="352" stopIfTrue="1" operator="lessThan">
      <formula>-0.03</formula>
    </cfRule>
  </conditionalFormatting>
  <conditionalFormatting sqref="Z43">
    <cfRule type="cellIs" dxfId="615" priority="347" operator="greaterThan">
      <formula>0.03</formula>
    </cfRule>
    <cfRule type="cellIs" dxfId="614" priority="348" stopIfTrue="1" operator="lessThan">
      <formula>-0.03</formula>
    </cfRule>
  </conditionalFormatting>
  <conditionalFormatting sqref="AA43">
    <cfRule type="cellIs" dxfId="613" priority="345" operator="greaterThan">
      <formula>0.03</formula>
    </cfRule>
    <cfRule type="cellIs" dxfId="612" priority="346" stopIfTrue="1" operator="lessThan">
      <formula>-0.03</formula>
    </cfRule>
  </conditionalFormatting>
  <conditionalFormatting sqref="Y46:Z46">
    <cfRule type="cellIs" dxfId="611" priority="341" operator="greaterThan">
      <formula>0.03</formula>
    </cfRule>
    <cfRule type="cellIs" dxfId="610" priority="342" stopIfTrue="1" operator="lessThan">
      <formula>-0.03</formula>
    </cfRule>
  </conditionalFormatting>
  <conditionalFormatting sqref="Y42:Z42">
    <cfRule type="cellIs" dxfId="609" priority="343" operator="greaterThan">
      <formula>0.03</formula>
    </cfRule>
    <cfRule type="cellIs" dxfId="608" priority="344" stopIfTrue="1" operator="lessThan">
      <formula>-0.03</formula>
    </cfRule>
  </conditionalFormatting>
  <conditionalFormatting sqref="Y55">
    <cfRule type="cellIs" dxfId="607" priority="305" operator="greaterThan">
      <formula>0.03</formula>
    </cfRule>
    <cfRule type="cellIs" dxfId="606" priority="306" stopIfTrue="1" operator="lessThan">
      <formula>-0.03</formula>
    </cfRule>
  </conditionalFormatting>
  <conditionalFormatting sqref="V47:X58">
    <cfRule type="cellIs" dxfId="605" priority="319" operator="greaterThan">
      <formula>0.03</formula>
    </cfRule>
    <cfRule type="cellIs" dxfId="604" priority="320" stopIfTrue="1" operator="lessThan">
      <formula>-0.03</formula>
    </cfRule>
  </conditionalFormatting>
  <conditionalFormatting sqref="Y47">
    <cfRule type="cellIs" dxfId="603" priority="317" operator="greaterThan">
      <formula>0.03</formula>
    </cfRule>
    <cfRule type="cellIs" dxfId="602" priority="318" stopIfTrue="1" operator="lessThan">
      <formula>-0.03</formula>
    </cfRule>
  </conditionalFormatting>
  <conditionalFormatting sqref="Z47">
    <cfRule type="cellIs" dxfId="601" priority="315" operator="greaterThan">
      <formula>0.03</formula>
    </cfRule>
    <cfRule type="cellIs" dxfId="600" priority="316" stopIfTrue="1" operator="lessThan">
      <formula>-0.03</formula>
    </cfRule>
  </conditionalFormatting>
  <conditionalFormatting sqref="AA47">
    <cfRule type="cellIs" dxfId="599" priority="313" operator="greaterThan">
      <formula>0.03</formula>
    </cfRule>
    <cfRule type="cellIs" dxfId="598" priority="314" stopIfTrue="1" operator="lessThan">
      <formula>-0.03</formula>
    </cfRule>
  </conditionalFormatting>
  <conditionalFormatting sqref="Y51">
    <cfRule type="cellIs" dxfId="597" priority="311" operator="greaterThan">
      <formula>0.03</formula>
    </cfRule>
    <cfRule type="cellIs" dxfId="596" priority="312" stopIfTrue="1" operator="lessThan">
      <formula>-0.03</formula>
    </cfRule>
  </conditionalFormatting>
  <conditionalFormatting sqref="Z51">
    <cfRule type="cellIs" dxfId="595" priority="309" operator="greaterThan">
      <formula>0.03</formula>
    </cfRule>
    <cfRule type="cellIs" dxfId="594" priority="310" stopIfTrue="1" operator="lessThan">
      <formula>-0.03</formula>
    </cfRule>
  </conditionalFormatting>
  <conditionalFormatting sqref="AA51">
    <cfRule type="cellIs" dxfId="593" priority="307" operator="greaterThan">
      <formula>0.03</formula>
    </cfRule>
    <cfRule type="cellIs" dxfId="592" priority="308" stopIfTrue="1" operator="lessThan">
      <formula>-0.03</formula>
    </cfRule>
  </conditionalFormatting>
  <conditionalFormatting sqref="Z55">
    <cfRule type="cellIs" dxfId="591" priority="303" operator="greaterThan">
      <formula>0.03</formula>
    </cfRule>
    <cfRule type="cellIs" dxfId="590" priority="304" stopIfTrue="1" operator="lessThan">
      <formula>-0.03</formula>
    </cfRule>
  </conditionalFormatting>
  <conditionalFormatting sqref="AA55">
    <cfRule type="cellIs" dxfId="589" priority="301" operator="greaterThan">
      <formula>0.03</formula>
    </cfRule>
    <cfRule type="cellIs" dxfId="588" priority="302" stopIfTrue="1" operator="lessThan">
      <formula>-0.03</formula>
    </cfRule>
  </conditionalFormatting>
  <conditionalFormatting sqref="Y50:Z50">
    <cfRule type="cellIs" dxfId="587" priority="293" operator="greaterThan">
      <formula>0.03</formula>
    </cfRule>
    <cfRule type="cellIs" dxfId="586" priority="294" stopIfTrue="1" operator="lessThan">
      <formula>-0.03</formula>
    </cfRule>
  </conditionalFormatting>
  <conditionalFormatting sqref="Y54:Z54">
    <cfRule type="cellIs" dxfId="585" priority="291" operator="greaterThan">
      <formula>0.03</formula>
    </cfRule>
    <cfRule type="cellIs" dxfId="584" priority="292" stopIfTrue="1" operator="lessThan">
      <formula>-0.03</formula>
    </cfRule>
  </conditionalFormatting>
  <conditionalFormatting sqref="Y58:Z58">
    <cfRule type="cellIs" dxfId="583" priority="289" operator="greaterThan">
      <formula>0.03</formula>
    </cfRule>
    <cfRule type="cellIs" dxfId="582" priority="290" stopIfTrue="1" operator="lessThan">
      <formula>-0.03</formula>
    </cfRule>
  </conditionalFormatting>
  <conditionalFormatting sqref="V75:X79">
    <cfRule type="cellIs" dxfId="581" priority="41" operator="greaterThan">
      <formula>0.03</formula>
    </cfRule>
    <cfRule type="cellIs" dxfId="580" priority="42" stopIfTrue="1" operator="lessThan">
      <formula>-0.03</formula>
    </cfRule>
  </conditionalFormatting>
  <conditionalFormatting sqref="Y75:AA79">
    <cfRule type="cellIs" dxfId="579" priority="39" operator="greaterThan">
      <formula>0.03</formula>
    </cfRule>
    <cfRule type="cellIs" dxfId="578" priority="40" stopIfTrue="1" operator="lessThan">
      <formula>-0.03</formula>
    </cfRule>
  </conditionalFormatting>
  <conditionalFormatting sqref="Y59">
    <cfRule type="cellIs" dxfId="577" priority="35" operator="greaterThan">
      <formula>0.03</formula>
    </cfRule>
    <cfRule type="cellIs" dxfId="576" priority="36" stopIfTrue="1" operator="lessThan">
      <formula>-0.03</formula>
    </cfRule>
  </conditionalFormatting>
  <conditionalFormatting sqref="V59:X62">
    <cfRule type="cellIs" dxfId="575" priority="37" operator="greaterThan">
      <formula>0.03</formula>
    </cfRule>
    <cfRule type="cellIs" dxfId="574" priority="38" stopIfTrue="1" operator="lessThan">
      <formula>-0.03</formula>
    </cfRule>
  </conditionalFormatting>
  <conditionalFormatting sqref="Z59">
    <cfRule type="cellIs" dxfId="573" priority="33" operator="greaterThan">
      <formula>0.03</formula>
    </cfRule>
    <cfRule type="cellIs" dxfId="572" priority="34" stopIfTrue="1" operator="lessThan">
      <formula>-0.03</formula>
    </cfRule>
  </conditionalFormatting>
  <conditionalFormatting sqref="AA59">
    <cfRule type="cellIs" dxfId="571" priority="31" operator="greaterThan">
      <formula>0.03</formula>
    </cfRule>
    <cfRule type="cellIs" dxfId="570" priority="32" stopIfTrue="1" operator="lessThan">
      <formula>-0.03</formula>
    </cfRule>
  </conditionalFormatting>
  <conditionalFormatting sqref="Y62:Z62">
    <cfRule type="cellIs" dxfId="569" priority="29" operator="greaterThan">
      <formula>0.03</formula>
    </cfRule>
    <cfRule type="cellIs" dxfId="568" priority="30" stopIfTrue="1" operator="lessThan">
      <formula>-0.03</formula>
    </cfRule>
  </conditionalFormatting>
  <conditionalFormatting sqref="Y67">
    <cfRule type="cellIs" dxfId="567" priority="19" operator="greaterThan">
      <formula>0.03</formula>
    </cfRule>
    <cfRule type="cellIs" dxfId="566" priority="20" stopIfTrue="1" operator="lessThan">
      <formula>-0.03</formula>
    </cfRule>
  </conditionalFormatting>
  <conditionalFormatting sqref="V63:X70">
    <cfRule type="cellIs" dxfId="565" priority="27" operator="greaterThan">
      <formula>0.03</formula>
    </cfRule>
    <cfRule type="cellIs" dxfId="564" priority="28" stopIfTrue="1" operator="lessThan">
      <formula>-0.03</formula>
    </cfRule>
  </conditionalFormatting>
  <conditionalFormatting sqref="Y63">
    <cfRule type="cellIs" dxfId="563" priority="25" operator="greaterThan">
      <formula>0.03</formula>
    </cfRule>
    <cfRule type="cellIs" dxfId="562" priority="26" stopIfTrue="1" operator="lessThan">
      <formula>-0.03</formula>
    </cfRule>
  </conditionalFormatting>
  <conditionalFormatting sqref="Z63">
    <cfRule type="cellIs" dxfId="561" priority="23" operator="greaterThan">
      <formula>0.03</formula>
    </cfRule>
    <cfRule type="cellIs" dxfId="560" priority="24" stopIfTrue="1" operator="lessThan">
      <formula>-0.03</formula>
    </cfRule>
  </conditionalFormatting>
  <conditionalFormatting sqref="AA63">
    <cfRule type="cellIs" dxfId="559" priority="21" operator="greaterThan">
      <formula>0.03</formula>
    </cfRule>
    <cfRule type="cellIs" dxfId="558" priority="22" stopIfTrue="1" operator="lessThan">
      <formula>-0.03</formula>
    </cfRule>
  </conditionalFormatting>
  <conditionalFormatting sqref="Z67">
    <cfRule type="cellIs" dxfId="557" priority="17" operator="greaterThan">
      <formula>0.03</formula>
    </cfRule>
    <cfRule type="cellIs" dxfId="556" priority="18" stopIfTrue="1" operator="lessThan">
      <formula>-0.03</formula>
    </cfRule>
  </conditionalFormatting>
  <conditionalFormatting sqref="AA67">
    <cfRule type="cellIs" dxfId="555" priority="15" operator="greaterThan">
      <formula>0.03</formula>
    </cfRule>
    <cfRule type="cellIs" dxfId="554" priority="16" stopIfTrue="1" operator="lessThan">
      <formula>-0.03</formula>
    </cfRule>
  </conditionalFormatting>
  <conditionalFormatting sqref="Y70:Z70">
    <cfRule type="cellIs" dxfId="553" priority="11" operator="greaterThan">
      <formula>0.03</formula>
    </cfRule>
    <cfRule type="cellIs" dxfId="552" priority="12" stopIfTrue="1" operator="lessThan">
      <formula>-0.03</formula>
    </cfRule>
  </conditionalFormatting>
  <conditionalFormatting sqref="Y66:Z66">
    <cfRule type="cellIs" dxfId="551" priority="13" operator="greaterThan">
      <formula>0.03</formula>
    </cfRule>
    <cfRule type="cellIs" dxfId="550" priority="14" stopIfTrue="1" operator="lessThan">
      <formula>-0.03</formula>
    </cfRule>
  </conditionalFormatting>
  <conditionalFormatting sqref="V71:X74">
    <cfRule type="cellIs" dxfId="549" priority="9" operator="greaterThan">
      <formula>0.03</formula>
    </cfRule>
    <cfRule type="cellIs" dxfId="548" priority="10" stopIfTrue="1" operator="lessThan">
      <formula>-0.03</formula>
    </cfRule>
  </conditionalFormatting>
  <conditionalFormatting sqref="Y71">
    <cfRule type="cellIs" dxfId="547" priority="7" operator="greaterThan">
      <formula>0.03</formula>
    </cfRule>
    <cfRule type="cellIs" dxfId="546" priority="8" stopIfTrue="1" operator="lessThan">
      <formula>-0.03</formula>
    </cfRule>
  </conditionalFormatting>
  <conditionalFormatting sqref="Z71">
    <cfRule type="cellIs" dxfId="545" priority="5" operator="greaterThan">
      <formula>0.03</formula>
    </cfRule>
    <cfRule type="cellIs" dxfId="544" priority="6" stopIfTrue="1" operator="lessThan">
      <formula>-0.03</formula>
    </cfRule>
  </conditionalFormatting>
  <conditionalFormatting sqref="AA71">
    <cfRule type="cellIs" dxfId="543" priority="3" operator="greaterThan">
      <formula>0.03</formula>
    </cfRule>
    <cfRule type="cellIs" dxfId="542" priority="4" stopIfTrue="1" operator="lessThan">
      <formula>-0.03</formula>
    </cfRule>
  </conditionalFormatting>
  <conditionalFormatting sqref="Y74:Z74">
    <cfRule type="cellIs" dxfId="541" priority="1" operator="greaterThan">
      <formula>0.03</formula>
    </cfRule>
    <cfRule type="cellIs" dxfId="540" priority="2" stopIfTrue="1" operator="lessThan">
      <formula>-0.03</formula>
    </cfRule>
  </conditionalFormatting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AA83"/>
  <sheetViews>
    <sheetView zoomScale="85" zoomScaleNormal="85" workbookViewId="0">
      <selection activeCell="L3" sqref="L3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Reference!B73</f>
        <v>14789.8</v>
      </c>
      <c r="E3" s="13">
        <f>Reference!C73</f>
        <v>40.076999999999998</v>
      </c>
      <c r="F3" s="13">
        <f>Reference!D73</f>
        <v>48.924100000000003</v>
      </c>
      <c r="G3" s="13">
        <f>Reference!E73</f>
        <v>46.924999999999997</v>
      </c>
      <c r="H3" s="13">
        <f>Reference!F73</f>
        <v>325190.78600000002</v>
      </c>
      <c r="I3" s="13">
        <f>Reference!G73</f>
        <v>63.844999999999999</v>
      </c>
      <c r="J3" s="14">
        <f>H3/3600</f>
        <v>90.330773888888899</v>
      </c>
      <c r="L3" s="12">
        <f>Test!B73</f>
        <v>0</v>
      </c>
      <c r="M3" s="13">
        <f>Test!C73</f>
        <v>0</v>
      </c>
      <c r="N3" s="13">
        <f>Test!D73</f>
        <v>0</v>
      </c>
      <c r="O3" s="13">
        <f>Test!E73</f>
        <v>0</v>
      </c>
      <c r="P3" s="13">
        <f>Test!F73</f>
        <v>0</v>
      </c>
      <c r="Q3" s="13">
        <f>Test!G73</f>
        <v>0</v>
      </c>
      <c r="R3" s="14">
        <f>P3/3600</f>
        <v>0</v>
      </c>
      <c r="S3" s="12">
        <f>P3/H3</f>
        <v>0</v>
      </c>
      <c r="T3" s="13">
        <f>Q3/I3</f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Reference!B74</f>
        <v>6857.9960000000001</v>
      </c>
      <c r="E4" s="18">
        <f>Reference!C74</f>
        <v>39.576300000000003</v>
      </c>
      <c r="F4" s="18">
        <f>Reference!D74</f>
        <v>48.324100000000001</v>
      </c>
      <c r="G4" s="18">
        <f>Reference!E74</f>
        <v>46.051699999999997</v>
      </c>
      <c r="H4" s="18">
        <f>Reference!F74</f>
        <v>192469.383</v>
      </c>
      <c r="I4" s="18">
        <f>Reference!G74</f>
        <v>62.787999999999997</v>
      </c>
      <c r="J4" s="19">
        <f t="shared" ref="J4:J14" si="0">H4/3600</f>
        <v>53.463717500000001</v>
      </c>
      <c r="L4" s="17">
        <f>Test!B74</f>
        <v>0</v>
      </c>
      <c r="M4" s="18">
        <f>Test!C74</f>
        <v>0</v>
      </c>
      <c r="N4" s="18">
        <f>Test!D74</f>
        <v>0</v>
      </c>
      <c r="O4" s="18">
        <f>Test!E74</f>
        <v>0</v>
      </c>
      <c r="P4" s="18">
        <f>Test!F74</f>
        <v>0</v>
      </c>
      <c r="Q4" s="18">
        <f>Test!G74</f>
        <v>0</v>
      </c>
      <c r="R4" s="19">
        <f t="shared" ref="R4:R14" si="1">P4/3600</f>
        <v>0</v>
      </c>
      <c r="S4" s="17">
        <f t="shared" ref="S4:T46" si="2">P4/H4</f>
        <v>0</v>
      </c>
      <c r="T4" s="18">
        <f t="shared" si="2"/>
        <v>0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Reference!B75</f>
        <v>3705.248</v>
      </c>
      <c r="E5" s="18">
        <f>Reference!C75</f>
        <v>38.716000000000001</v>
      </c>
      <c r="F5" s="18">
        <f>Reference!D75</f>
        <v>47.327300000000001</v>
      </c>
      <c r="G5" s="18">
        <f>Reference!E75</f>
        <v>44.732199999999999</v>
      </c>
      <c r="H5" s="18">
        <f>Reference!F75</f>
        <v>96476.134999999995</v>
      </c>
      <c r="I5" s="18">
        <f>Reference!G75</f>
        <v>57.643999999999998</v>
      </c>
      <c r="J5" s="19">
        <f t="shared" si="0"/>
        <v>26.798926388888887</v>
      </c>
      <c r="L5" s="17">
        <f>Test!B75</f>
        <v>3688.6959999999999</v>
      </c>
      <c r="M5" s="18">
        <f>Test!C75</f>
        <v>38.720799999999997</v>
      </c>
      <c r="N5" s="18">
        <f>Test!D75</f>
        <v>47.317599999999999</v>
      </c>
      <c r="O5" s="18">
        <f>Test!E75</f>
        <v>44.735399999999998</v>
      </c>
      <c r="P5" s="18">
        <f>Test!F75</f>
        <v>94668.489000000001</v>
      </c>
      <c r="Q5" s="18">
        <f>Test!G75</f>
        <v>54.91</v>
      </c>
      <c r="R5" s="19">
        <f t="shared" si="1"/>
        <v>26.296802500000002</v>
      </c>
      <c r="S5" s="17">
        <f t="shared" si="2"/>
        <v>0.98126328340164126</v>
      </c>
      <c r="T5" s="18">
        <f t="shared" si="2"/>
        <v>0.95257095274443127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Reference!B76</f>
        <v>1961.8320000000001</v>
      </c>
      <c r="E6" s="23">
        <f>Reference!C76</f>
        <v>37.2042</v>
      </c>
      <c r="F6" s="23">
        <f>Reference!D76</f>
        <v>46.080100000000002</v>
      </c>
      <c r="G6" s="23">
        <f>Reference!E76</f>
        <v>43.069800000000001</v>
      </c>
      <c r="H6" s="23">
        <f>Reference!F76</f>
        <v>47123.78</v>
      </c>
      <c r="I6" s="23">
        <f>Reference!G76</f>
        <v>50.548999999999999</v>
      </c>
      <c r="J6" s="24">
        <f t="shared" si="0"/>
        <v>13.089938888888888</v>
      </c>
      <c r="L6" s="22">
        <f>Test!B76</f>
        <v>1944.4680000000001</v>
      </c>
      <c r="M6" s="23">
        <f>Test!C76</f>
        <v>37.2072</v>
      </c>
      <c r="N6" s="23">
        <f>Test!D76</f>
        <v>46.0914</v>
      </c>
      <c r="O6" s="23">
        <f>Test!E76</f>
        <v>43.0809</v>
      </c>
      <c r="P6" s="23">
        <f>Test!F76</f>
        <v>47440.087</v>
      </c>
      <c r="Q6" s="23">
        <f>Test!G76</f>
        <v>50.664000000000001</v>
      </c>
      <c r="R6" s="24">
        <f t="shared" si="1"/>
        <v>13.177801944444445</v>
      </c>
      <c r="S6" s="17">
        <f t="shared" si="2"/>
        <v>1.0067122586515769</v>
      </c>
      <c r="T6" s="18">
        <f t="shared" si="2"/>
        <v>1.0022750202773547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Reference!B77</f>
        <v>77900.460000000006</v>
      </c>
      <c r="E7" s="13">
        <f>Reference!C77</f>
        <v>41.578899999999997</v>
      </c>
      <c r="F7" s="13">
        <f>Reference!D77</f>
        <v>36.269300000000001</v>
      </c>
      <c r="G7" s="13">
        <f>Reference!E77</f>
        <v>37.373600000000003</v>
      </c>
      <c r="H7" s="13">
        <f>Reference!F77</f>
        <v>627495.64500000002</v>
      </c>
      <c r="I7" s="13">
        <f>Reference!G77</f>
        <v>69.418999999999997</v>
      </c>
      <c r="J7" s="14">
        <f t="shared" si="0"/>
        <v>174.30434583333334</v>
      </c>
      <c r="L7" s="12">
        <f>Test!B77</f>
        <v>0</v>
      </c>
      <c r="M7" s="13">
        <f>Test!C77</f>
        <v>0</v>
      </c>
      <c r="N7" s="13">
        <f>Test!D77</f>
        <v>0</v>
      </c>
      <c r="O7" s="13">
        <f>Test!E77</f>
        <v>0</v>
      </c>
      <c r="P7" s="13">
        <f>Test!F77</f>
        <v>0</v>
      </c>
      <c r="Q7" s="13">
        <f>Test!G77</f>
        <v>0</v>
      </c>
      <c r="R7" s="14">
        <f t="shared" si="1"/>
        <v>0</v>
      </c>
      <c r="S7" s="17">
        <f t="shared" si="2"/>
        <v>0</v>
      </c>
      <c r="T7" s="18">
        <f t="shared" si="2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2" t="e">
        <f>bdrate($D7:$D10,G7:G10,$L7:$L10,O7:O10)</f>
        <v>#VALUE!</v>
      </c>
      <c r="Y7" s="40" t="e">
        <f>bdrateOld($D7:$D10,E7:E10,$L7:$L10,M7:M10)</f>
        <v>#VALUE!</v>
      </c>
      <c r="Z7" s="44" t="e">
        <f>bdrateOld($D7:$D10,F7:F10,$L7:$L10,N7:N10)</f>
        <v>#VALUE!</v>
      </c>
      <c r="AA7" s="45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Reference!B78</f>
        <v>40400.296000000002</v>
      </c>
      <c r="E8" s="18">
        <f>Reference!C78</f>
        <v>38.9818</v>
      </c>
      <c r="F8" s="18">
        <f>Reference!D78</f>
        <v>34.330800000000004</v>
      </c>
      <c r="G8" s="18">
        <f>Reference!E78</f>
        <v>35.659199999999998</v>
      </c>
      <c r="H8" s="18">
        <f>Reference!F78</f>
        <v>395493.01</v>
      </c>
      <c r="I8" s="18">
        <f>Reference!G78</f>
        <v>60.552999999999997</v>
      </c>
      <c r="J8" s="19">
        <f t="shared" si="0"/>
        <v>109.85916944444445</v>
      </c>
      <c r="L8" s="17">
        <f>Test!B78</f>
        <v>0</v>
      </c>
      <c r="M8" s="18">
        <f>Test!C78</f>
        <v>0</v>
      </c>
      <c r="N8" s="18">
        <f>Test!D78</f>
        <v>0</v>
      </c>
      <c r="O8" s="18">
        <f>Test!E78</f>
        <v>0</v>
      </c>
      <c r="P8" s="18">
        <f>Test!F78</f>
        <v>0</v>
      </c>
      <c r="Q8" s="18">
        <f>Test!G78</f>
        <v>0</v>
      </c>
      <c r="R8" s="19">
        <f t="shared" si="1"/>
        <v>0</v>
      </c>
      <c r="S8" s="17">
        <f t="shared" si="2"/>
        <v>0</v>
      </c>
      <c r="T8" s="18">
        <f t="shared" si="2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Reference!B79</f>
        <v>19050.848000000002</v>
      </c>
      <c r="E9" s="18">
        <f>Reference!C79</f>
        <v>36.0807</v>
      </c>
      <c r="F9" s="18">
        <f>Reference!D79</f>
        <v>32.598700000000001</v>
      </c>
      <c r="G9" s="18">
        <f>Reference!E79</f>
        <v>34.117600000000003</v>
      </c>
      <c r="H9" s="18">
        <f>Reference!F79</f>
        <v>246132.389</v>
      </c>
      <c r="I9" s="18">
        <f>Reference!G79</f>
        <v>57.564</v>
      </c>
      <c r="J9" s="19">
        <f t="shared" si="0"/>
        <v>68.370108055555548</v>
      </c>
      <c r="L9" s="17">
        <f>Test!B79</f>
        <v>0</v>
      </c>
      <c r="M9" s="18">
        <f>Test!C79</f>
        <v>0</v>
      </c>
      <c r="N9" s="18">
        <f>Test!D79</f>
        <v>0</v>
      </c>
      <c r="O9" s="18">
        <f>Test!E79</f>
        <v>0</v>
      </c>
      <c r="P9" s="18">
        <f>Test!F79</f>
        <v>0</v>
      </c>
      <c r="Q9" s="18">
        <f>Test!G79</f>
        <v>0</v>
      </c>
      <c r="R9" s="19">
        <f t="shared" si="1"/>
        <v>0</v>
      </c>
      <c r="S9" s="17">
        <f t="shared" si="2"/>
        <v>0</v>
      </c>
      <c r="T9" s="18">
        <f t="shared" si="2"/>
        <v>0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Reference!B80</f>
        <v>7848.88</v>
      </c>
      <c r="E10" s="23">
        <f>Reference!C80</f>
        <v>33.0137</v>
      </c>
      <c r="F10" s="23">
        <f>Reference!D80</f>
        <v>30.991099999999999</v>
      </c>
      <c r="G10" s="23">
        <f>Reference!E80</f>
        <v>32.724200000000003</v>
      </c>
      <c r="H10" s="23">
        <f>Reference!F80</f>
        <v>141618.41899999999</v>
      </c>
      <c r="I10" s="23">
        <f>Reference!G80</f>
        <v>53.863</v>
      </c>
      <c r="J10" s="24">
        <f t="shared" si="0"/>
        <v>39.338449722222222</v>
      </c>
      <c r="L10" s="22">
        <f>Test!B80</f>
        <v>0</v>
      </c>
      <c r="M10" s="23">
        <f>Test!C80</f>
        <v>0</v>
      </c>
      <c r="N10" s="23">
        <f>Test!D80</f>
        <v>0</v>
      </c>
      <c r="O10" s="23">
        <f>Test!E80</f>
        <v>0</v>
      </c>
      <c r="P10" s="23">
        <f>Test!F80</f>
        <v>0</v>
      </c>
      <c r="Q10" s="23">
        <f>Test!G80</f>
        <v>0</v>
      </c>
      <c r="R10" s="24">
        <f t="shared" si="1"/>
        <v>0</v>
      </c>
      <c r="S10" s="17">
        <f t="shared" si="2"/>
        <v>0</v>
      </c>
      <c r="T10" s="18">
        <f t="shared" si="2"/>
        <v>0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Reference!B81</f>
        <v>39137.379999999997</v>
      </c>
      <c r="E11" s="13">
        <f>Reference!C81</f>
        <v>38.308199999999999</v>
      </c>
      <c r="F11" s="13">
        <f>Reference!D81</f>
        <v>40.3172</v>
      </c>
      <c r="G11" s="13">
        <f>Reference!E81</f>
        <v>41.3108</v>
      </c>
      <c r="H11" s="13">
        <f>Reference!F81</f>
        <v>346930.59700000001</v>
      </c>
      <c r="I11" s="13">
        <f>Reference!G81</f>
        <v>38.850999999999999</v>
      </c>
      <c r="J11" s="14">
        <f t="shared" si="0"/>
        <v>96.369610277777781</v>
      </c>
      <c r="L11" s="12">
        <f>Test!B81</f>
        <v>0</v>
      </c>
      <c r="M11" s="13">
        <f>Test!C81</f>
        <v>0</v>
      </c>
      <c r="N11" s="13">
        <f>Test!D81</f>
        <v>0</v>
      </c>
      <c r="O11" s="13">
        <f>Test!E81</f>
        <v>0</v>
      </c>
      <c r="P11" s="13">
        <f>Test!F81</f>
        <v>0</v>
      </c>
      <c r="Q11" s="13">
        <f>Test!G81</f>
        <v>0</v>
      </c>
      <c r="R11" s="14">
        <f t="shared" si="1"/>
        <v>0</v>
      </c>
      <c r="S11" s="17">
        <f t="shared" si="2"/>
        <v>0</v>
      </c>
      <c r="T11" s="18">
        <f t="shared" si="2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2" t="e">
        <f>bdrate($D11:$D14,G11:G14,$L11:$L14,O11:O14)</f>
        <v>#VALUE!</v>
      </c>
      <c r="Y11" s="40" t="e">
        <f>bdrateOld($D11:$D14,E11:E14,$L11:$L14,M11:M14)</f>
        <v>#VALUE!</v>
      </c>
      <c r="Z11" s="44" t="e">
        <f>bdrateOld($D11:$D14,F11:F14,$L11:$L14,N11:N14)</f>
        <v>#VALUE!</v>
      </c>
      <c r="AA11" s="45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Reference!B82</f>
        <v>18990.099999999999</v>
      </c>
      <c r="E12" s="18">
        <f>Reference!C82</f>
        <v>37.182400000000001</v>
      </c>
      <c r="F12" s="18">
        <f>Reference!D82</f>
        <v>37.827300000000001</v>
      </c>
      <c r="G12" s="18">
        <f>Reference!E82</f>
        <v>40.009</v>
      </c>
      <c r="H12" s="18">
        <f>Reference!F82</f>
        <v>199605.91899999999</v>
      </c>
      <c r="I12" s="18">
        <f>Reference!G82</f>
        <v>33.83</v>
      </c>
      <c r="J12" s="19">
        <f t="shared" si="0"/>
        <v>55.446088611111108</v>
      </c>
      <c r="L12" s="17">
        <f>Test!B82</f>
        <v>0</v>
      </c>
      <c r="M12" s="18">
        <f>Test!C82</f>
        <v>0</v>
      </c>
      <c r="N12" s="18">
        <f>Test!D82</f>
        <v>0</v>
      </c>
      <c r="O12" s="18">
        <f>Test!E82</f>
        <v>0</v>
      </c>
      <c r="P12" s="18">
        <f>Test!F82</f>
        <v>0</v>
      </c>
      <c r="Q12" s="18">
        <f>Test!G82</f>
        <v>0</v>
      </c>
      <c r="R12" s="19">
        <f t="shared" si="1"/>
        <v>0</v>
      </c>
      <c r="S12" s="17">
        <f t="shared" si="2"/>
        <v>0</v>
      </c>
      <c r="T12" s="18">
        <f t="shared" si="2"/>
        <v>0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Reference!B83</f>
        <v>9388.3680000000004</v>
      </c>
      <c r="E13" s="18">
        <f>Reference!C83</f>
        <v>35.799799999999998</v>
      </c>
      <c r="F13" s="18">
        <f>Reference!D83</f>
        <v>35.643700000000003</v>
      </c>
      <c r="G13" s="18">
        <f>Reference!E83</f>
        <v>38.698999999999998</v>
      </c>
      <c r="H13" s="18">
        <f>Reference!F83</f>
        <v>119946.659</v>
      </c>
      <c r="I13" s="18">
        <f>Reference!G83</f>
        <v>30.489000000000001</v>
      </c>
      <c r="J13" s="19">
        <f t="shared" si="0"/>
        <v>33.318516388888888</v>
      </c>
      <c r="L13" s="17">
        <f>Test!B83</f>
        <v>0</v>
      </c>
      <c r="M13" s="18">
        <f>Test!C83</f>
        <v>0</v>
      </c>
      <c r="N13" s="18">
        <f>Test!D83</f>
        <v>0</v>
      </c>
      <c r="O13" s="18">
        <f>Test!E83</f>
        <v>0</v>
      </c>
      <c r="P13" s="18">
        <f>Test!F83</f>
        <v>0</v>
      </c>
      <c r="Q13" s="18">
        <f>Test!G83</f>
        <v>0</v>
      </c>
      <c r="R13" s="19">
        <f t="shared" si="1"/>
        <v>0</v>
      </c>
      <c r="S13" s="17">
        <f t="shared" si="2"/>
        <v>0</v>
      </c>
      <c r="T13" s="18">
        <f t="shared" si="2"/>
        <v>0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Reference!B84</f>
        <v>4757.4960000000001</v>
      </c>
      <c r="E14" s="23">
        <f>Reference!C84</f>
        <v>33.9604</v>
      </c>
      <c r="F14" s="23">
        <f>Reference!D84</f>
        <v>33.773400000000002</v>
      </c>
      <c r="G14" s="23">
        <f>Reference!E84</f>
        <v>37.2408</v>
      </c>
      <c r="H14" s="23">
        <f>Reference!F84</f>
        <v>71418.542000000001</v>
      </c>
      <c r="I14" s="23">
        <f>Reference!G84</f>
        <v>27.361999999999998</v>
      </c>
      <c r="J14" s="24">
        <f t="shared" si="0"/>
        <v>19.838483888888888</v>
      </c>
      <c r="L14" s="22">
        <f>Test!B84</f>
        <v>4755.6400000000003</v>
      </c>
      <c r="M14" s="23">
        <f>Test!C84</f>
        <v>33.9602</v>
      </c>
      <c r="N14" s="23">
        <f>Test!D84</f>
        <v>33.770899999999997</v>
      </c>
      <c r="O14" s="23">
        <f>Test!E84</f>
        <v>37.251100000000001</v>
      </c>
      <c r="P14" s="23">
        <f>Test!F84</f>
        <v>75277.841</v>
      </c>
      <c r="Q14" s="23">
        <f>Test!G84</f>
        <v>28.048999999999999</v>
      </c>
      <c r="R14" s="24">
        <f t="shared" si="1"/>
        <v>20.910511388888889</v>
      </c>
      <c r="S14" s="17">
        <f t="shared" si="2"/>
        <v>1.05403777355186</v>
      </c>
      <c r="T14" s="18">
        <f t="shared" si="2"/>
        <v>1.0251078137563043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Reference!B85</f>
        <v>25591.08</v>
      </c>
      <c r="E15" s="13">
        <f>Reference!C85</f>
        <v>37.609000000000002</v>
      </c>
      <c r="F15" s="13">
        <f>Reference!D85</f>
        <v>45.136800000000001</v>
      </c>
      <c r="G15" s="13">
        <f>Reference!E85</f>
        <v>42.7746</v>
      </c>
      <c r="H15" s="13">
        <f>Reference!F85</f>
        <v>475087.57400000002</v>
      </c>
      <c r="I15" s="13">
        <f>Reference!G85</f>
        <v>65.12</v>
      </c>
      <c r="J15" s="14">
        <f>H15/3600</f>
        <v>131.96877055555555</v>
      </c>
      <c r="L15" s="12">
        <f>Test!B85</f>
        <v>0</v>
      </c>
      <c r="M15" s="13">
        <f>Test!C85</f>
        <v>0</v>
      </c>
      <c r="N15" s="13">
        <f>Test!D85</f>
        <v>0</v>
      </c>
      <c r="O15" s="13">
        <f>Test!E85</f>
        <v>0</v>
      </c>
      <c r="P15" s="13">
        <f>Test!F85</f>
        <v>0</v>
      </c>
      <c r="Q15" s="13">
        <f>Test!G85</f>
        <v>0</v>
      </c>
      <c r="R15" s="14">
        <f>P15/3600</f>
        <v>0</v>
      </c>
      <c r="S15" s="17">
        <f>P15/H15</f>
        <v>0</v>
      </c>
      <c r="T15" s="18">
        <f>Q15/I15</f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Reference!B86</f>
        <v>9254.3639999999996</v>
      </c>
      <c r="E16" s="18">
        <f>Reference!C86</f>
        <v>37.043599999999998</v>
      </c>
      <c r="F16" s="18">
        <f>Reference!D86</f>
        <v>44.534599999999998</v>
      </c>
      <c r="G16" s="18">
        <f>Reference!E86</f>
        <v>42.095100000000002</v>
      </c>
      <c r="H16" s="18">
        <f>Reference!F86</f>
        <v>251698.397</v>
      </c>
      <c r="I16" s="18">
        <f>Reference!G86</f>
        <v>55.720999999999997</v>
      </c>
      <c r="J16" s="19">
        <f t="shared" ref="J16:J26" si="3">H16/3600</f>
        <v>69.916221388888886</v>
      </c>
      <c r="L16" s="17">
        <f>Test!B86</f>
        <v>0</v>
      </c>
      <c r="M16" s="18">
        <f>Test!C86</f>
        <v>0</v>
      </c>
      <c r="N16" s="18">
        <f>Test!D86</f>
        <v>0</v>
      </c>
      <c r="O16" s="18">
        <f>Test!E86</f>
        <v>0</v>
      </c>
      <c r="P16" s="18">
        <f>Test!F86</f>
        <v>0</v>
      </c>
      <c r="Q16" s="18">
        <f>Test!G86</f>
        <v>0</v>
      </c>
      <c r="R16" s="19">
        <f t="shared" ref="R16:R26" si="4">P16/3600</f>
        <v>0</v>
      </c>
      <c r="S16" s="17">
        <f t="shared" ref="S16:S26" si="5">P16/H16</f>
        <v>0</v>
      </c>
      <c r="T16" s="18">
        <f t="shared" ref="T16:T26" si="6">Q16/I16</f>
        <v>0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Reference!B87</f>
        <v>4563.9279999999999</v>
      </c>
      <c r="E17" s="18">
        <f>Reference!C87</f>
        <v>36.180999999999997</v>
      </c>
      <c r="F17" s="18">
        <f>Reference!D87</f>
        <v>43.601199999999999</v>
      </c>
      <c r="G17" s="18">
        <f>Reference!E87</f>
        <v>41.113500000000002</v>
      </c>
      <c r="H17" s="18">
        <f>Reference!F87</f>
        <v>131541.51500000001</v>
      </c>
      <c r="I17" s="18">
        <f>Reference!G87</f>
        <v>48.959000000000003</v>
      </c>
      <c r="J17" s="19">
        <f t="shared" si="3"/>
        <v>36.539309722222228</v>
      </c>
      <c r="L17" s="17">
        <f>Test!B87</f>
        <v>0</v>
      </c>
      <c r="M17" s="18">
        <f>Test!C87</f>
        <v>0</v>
      </c>
      <c r="N17" s="18">
        <f>Test!D87</f>
        <v>0</v>
      </c>
      <c r="O17" s="18">
        <f>Test!E87</f>
        <v>0</v>
      </c>
      <c r="P17" s="18">
        <f>Test!F87</f>
        <v>0</v>
      </c>
      <c r="Q17" s="18">
        <f>Test!G87</f>
        <v>0</v>
      </c>
      <c r="R17" s="19">
        <f t="shared" si="4"/>
        <v>0</v>
      </c>
      <c r="S17" s="17">
        <f t="shared" si="5"/>
        <v>0</v>
      </c>
      <c r="T17" s="18">
        <f t="shared" si="6"/>
        <v>0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Reference!B88</f>
        <v>2200.46</v>
      </c>
      <c r="E18" s="23">
        <f>Reference!C88</f>
        <v>34.701799999999999</v>
      </c>
      <c r="F18" s="23">
        <f>Reference!D88</f>
        <v>42.3125</v>
      </c>
      <c r="G18" s="23">
        <f>Reference!E88</f>
        <v>39.845300000000002</v>
      </c>
      <c r="H18" s="23">
        <f>Reference!F88</f>
        <v>64329.911999999997</v>
      </c>
      <c r="I18" s="23">
        <f>Reference!G88</f>
        <v>41.834000000000003</v>
      </c>
      <c r="J18" s="24">
        <f t="shared" si="3"/>
        <v>17.869419999999998</v>
      </c>
      <c r="L18" s="22">
        <f>Test!B88</f>
        <v>2197.5160000000001</v>
      </c>
      <c r="M18" s="23">
        <f>Test!C88</f>
        <v>34.709499999999998</v>
      </c>
      <c r="N18" s="23">
        <f>Test!D88</f>
        <v>42.3048</v>
      </c>
      <c r="O18" s="23">
        <f>Test!E88</f>
        <v>39.847099999999998</v>
      </c>
      <c r="P18" s="23">
        <f>Test!F88</f>
        <v>65783.839000000007</v>
      </c>
      <c r="Q18" s="23">
        <f>Test!G88</f>
        <v>42.670999999999999</v>
      </c>
      <c r="R18" s="24">
        <f t="shared" si="4"/>
        <v>18.273288611111113</v>
      </c>
      <c r="S18" s="17">
        <f t="shared" si="5"/>
        <v>1.0226011035115361</v>
      </c>
      <c r="T18" s="18">
        <f t="shared" si="6"/>
        <v>1.0200076492804895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Reference!B89</f>
        <v>10049.26</v>
      </c>
      <c r="E19" s="13">
        <f>Reference!C89</f>
        <v>37.979700000000001</v>
      </c>
      <c r="F19" s="13">
        <f>Reference!D89</f>
        <v>39.720999999999997</v>
      </c>
      <c r="G19" s="13">
        <f>Reference!E89</f>
        <v>43.091799999999999</v>
      </c>
      <c r="H19" s="13">
        <f>Reference!F89</f>
        <v>105508.677</v>
      </c>
      <c r="I19" s="13">
        <f>Reference!G89</f>
        <v>13.365</v>
      </c>
      <c r="J19" s="14">
        <f t="shared" si="3"/>
        <v>29.307965833333331</v>
      </c>
      <c r="L19" s="12">
        <f>Test!B89</f>
        <v>10049.459999999999</v>
      </c>
      <c r="M19" s="13">
        <f>Test!C89</f>
        <v>37.982100000000003</v>
      </c>
      <c r="N19" s="13">
        <f>Test!D89</f>
        <v>39.7196</v>
      </c>
      <c r="O19" s="13">
        <f>Test!E89</f>
        <v>43.086100000000002</v>
      </c>
      <c r="P19" s="13">
        <f>Test!F89</f>
        <v>111757.291</v>
      </c>
      <c r="Q19" s="13">
        <f>Test!G89</f>
        <v>14.157999999999999</v>
      </c>
      <c r="R19" s="14">
        <f t="shared" si="4"/>
        <v>31.043691944444443</v>
      </c>
      <c r="S19" s="12">
        <f t="shared" si="5"/>
        <v>1.0592236977817473</v>
      </c>
      <c r="T19" s="13">
        <f t="shared" si="6"/>
        <v>1.0593340815563037</v>
      </c>
      <c r="U19" s="90"/>
      <c r="V19" s="37">
        <f>bdrate($D19:$D22,E19:E22,$L19:$L22,M19:M22)</f>
        <v>-1.5205044010194735E-3</v>
      </c>
      <c r="W19" s="42">
        <f>bdrate($D19:$D22,F19:F22,$L19:$L22,N19:N22)</f>
        <v>-3.9939259578423147E-3</v>
      </c>
      <c r="X19" s="42">
        <f>bdrate($D19:$D22,G19:G22,$L19:$L22,O19:O22)</f>
        <v>-2.2566434578318306E-3</v>
      </c>
      <c r="Y19" s="40">
        <f>bdrateOld($D19:$D22,E19:E22,$L19:$L22,M19:M22)</f>
        <v>-1.5819418599627433E-3</v>
      </c>
      <c r="Z19" s="44">
        <f>bdrateOld($D19:$D22,F19:F22,$L19:$L22,N19:N22)</f>
        <v>-4.5625704493718056E-3</v>
      </c>
      <c r="AA19" s="45">
        <f>bdrateOld($D19:$D22,G19:G22,$L19:$L22,O19:O22)</f>
        <v>-2.0739653439467709E-3</v>
      </c>
    </row>
    <row r="20" spans="1:27" x14ac:dyDescent="0.2">
      <c r="A20" s="16" t="s">
        <v>48</v>
      </c>
      <c r="B20" s="85"/>
      <c r="C20" s="16">
        <v>32</v>
      </c>
      <c r="D20" s="17">
        <f>Reference!B90</f>
        <v>4717.1279999999997</v>
      </c>
      <c r="E20" s="18">
        <f>Reference!C90</f>
        <v>36.881100000000004</v>
      </c>
      <c r="F20" s="18">
        <f>Reference!D90</f>
        <v>39.189599999999999</v>
      </c>
      <c r="G20" s="18">
        <f>Reference!E90</f>
        <v>41.972900000000003</v>
      </c>
      <c r="H20" s="18">
        <f>Reference!F90</f>
        <v>63385.701999999997</v>
      </c>
      <c r="I20" s="18">
        <f>Reference!G90</f>
        <v>11.445</v>
      </c>
      <c r="J20" s="19">
        <f t="shared" si="3"/>
        <v>17.607139444444442</v>
      </c>
      <c r="L20" s="17">
        <f>Test!B90</f>
        <v>4716.0119999999997</v>
      </c>
      <c r="M20" s="18">
        <f>Test!C90</f>
        <v>36.882899999999999</v>
      </c>
      <c r="N20" s="18">
        <f>Test!D90</f>
        <v>39.188499999999998</v>
      </c>
      <c r="O20" s="18">
        <f>Test!E90</f>
        <v>41.976900000000001</v>
      </c>
      <c r="P20" s="18">
        <f>Test!F90</f>
        <v>65951.407000000007</v>
      </c>
      <c r="Q20" s="18">
        <f>Test!G90</f>
        <v>11.694000000000001</v>
      </c>
      <c r="R20" s="19">
        <f t="shared" si="4"/>
        <v>18.319835277777781</v>
      </c>
      <c r="S20" s="17">
        <f t="shared" si="5"/>
        <v>1.0404776616657176</v>
      </c>
      <c r="T20" s="18">
        <f t="shared" si="6"/>
        <v>1.0217562254259502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Reference!B91</f>
        <v>2398.3440000000001</v>
      </c>
      <c r="E21" s="18">
        <f>Reference!C91</f>
        <v>35.2973</v>
      </c>
      <c r="F21" s="18">
        <f>Reference!D91</f>
        <v>38.465499999999999</v>
      </c>
      <c r="G21" s="18">
        <f>Reference!E91</f>
        <v>40.6023</v>
      </c>
      <c r="H21" s="18">
        <f>Reference!F91</f>
        <v>37687.055999999997</v>
      </c>
      <c r="I21" s="18">
        <f>Reference!G91</f>
        <v>10.443</v>
      </c>
      <c r="J21" s="19">
        <f t="shared" si="3"/>
        <v>10.468626666666665</v>
      </c>
      <c r="L21" s="17">
        <f>Test!B91</f>
        <v>2395.3679999999999</v>
      </c>
      <c r="M21" s="18">
        <f>Test!C91</f>
        <v>35.298000000000002</v>
      </c>
      <c r="N21" s="18">
        <f>Test!D91</f>
        <v>38.473300000000002</v>
      </c>
      <c r="O21" s="18">
        <f>Test!E91</f>
        <v>40.611199999999997</v>
      </c>
      <c r="P21" s="18">
        <f>Test!F91</f>
        <v>38329.716999999997</v>
      </c>
      <c r="Q21" s="18">
        <f>Test!G91</f>
        <v>10.587</v>
      </c>
      <c r="R21" s="19">
        <f t="shared" si="4"/>
        <v>10.64714361111111</v>
      </c>
      <c r="S21" s="17">
        <f t="shared" si="5"/>
        <v>1.0170525657403433</v>
      </c>
      <c r="T21" s="18">
        <f t="shared" si="6"/>
        <v>1.0137891410514219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Reference!B92</f>
        <v>1120.44</v>
      </c>
      <c r="E22" s="23">
        <f>Reference!C92</f>
        <v>33.049100000000003</v>
      </c>
      <c r="F22" s="23">
        <f>Reference!D92</f>
        <v>37.382399999999997</v>
      </c>
      <c r="G22" s="23">
        <f>Reference!E92</f>
        <v>38.925899999999999</v>
      </c>
      <c r="H22" s="23">
        <f>Reference!F92</f>
        <v>20626.091</v>
      </c>
      <c r="I22" s="23">
        <f>Reference!G92</f>
        <v>9.5310000000000006</v>
      </c>
      <c r="J22" s="24">
        <f t="shared" si="3"/>
        <v>5.7294697222222224</v>
      </c>
      <c r="L22" s="22">
        <f>Test!B92</f>
        <v>1118.848</v>
      </c>
      <c r="M22" s="23">
        <f>Test!C92</f>
        <v>33.0503</v>
      </c>
      <c r="N22" s="23">
        <f>Test!D92</f>
        <v>37.386899999999997</v>
      </c>
      <c r="O22" s="23">
        <f>Test!E92</f>
        <v>38.915300000000002</v>
      </c>
      <c r="P22" s="23">
        <f>Test!F92</f>
        <v>20444.757000000001</v>
      </c>
      <c r="Q22" s="23">
        <f>Test!G92</f>
        <v>9.3420000000000005</v>
      </c>
      <c r="R22" s="24">
        <f t="shared" si="4"/>
        <v>5.679099166666667</v>
      </c>
      <c r="S22" s="17">
        <f t="shared" si="5"/>
        <v>0.99120851352784201</v>
      </c>
      <c r="T22" s="18">
        <f t="shared" si="6"/>
        <v>0.98016997167138808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Reference!B93</f>
        <v>8813.2880000000005</v>
      </c>
      <c r="E23" s="13">
        <f>Reference!C93</f>
        <v>38.901699999999998</v>
      </c>
      <c r="F23" s="13">
        <f>Reference!D93</f>
        <v>43.935899999999997</v>
      </c>
      <c r="G23" s="13">
        <f>Reference!E93</f>
        <v>45.039900000000003</v>
      </c>
      <c r="H23" s="13">
        <f>Reference!F93</f>
        <v>107753.804</v>
      </c>
      <c r="I23" s="13">
        <f>Reference!G93</f>
        <v>14.877000000000001</v>
      </c>
      <c r="J23" s="14">
        <f t="shared" si="3"/>
        <v>29.931612222222224</v>
      </c>
      <c r="L23" s="12">
        <f>Test!B93</f>
        <v>0</v>
      </c>
      <c r="M23" s="13">
        <f>Test!C93</f>
        <v>0</v>
      </c>
      <c r="N23" s="13">
        <f>Test!D93</f>
        <v>0</v>
      </c>
      <c r="O23" s="13">
        <f>Test!E93</f>
        <v>0</v>
      </c>
      <c r="P23" s="13">
        <f>Test!F93</f>
        <v>0</v>
      </c>
      <c r="Q23" s="13">
        <f>Test!G93</f>
        <v>0</v>
      </c>
      <c r="R23" s="14">
        <f t="shared" si="4"/>
        <v>0</v>
      </c>
      <c r="S23" s="17">
        <f t="shared" si="5"/>
        <v>0</v>
      </c>
      <c r="T23" s="18">
        <f t="shared" si="6"/>
        <v>0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2" t="e">
        <f>bdrate($D23:$D26,G23:G26,$L23:$L26,O23:O26)</f>
        <v>#VALUE!</v>
      </c>
      <c r="Y23" s="40" t="e">
        <f>bdrateOld($D23:$D26,E23:E26,$L23:$L26,M23:M26)</f>
        <v>#VALUE!</v>
      </c>
      <c r="Z23" s="44" t="e">
        <f>bdrateOld($D23:$D26,F23:F26,$L23:$L26,N23:N26)</f>
        <v>#VALUE!</v>
      </c>
      <c r="AA23" s="45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Reference!B94</f>
        <v>4393.3</v>
      </c>
      <c r="E24" s="18">
        <f>Reference!C94</f>
        <v>37.856400000000001</v>
      </c>
      <c r="F24" s="18">
        <f>Reference!D94</f>
        <v>43.0976</v>
      </c>
      <c r="G24" s="18">
        <f>Reference!E94</f>
        <v>43.616300000000003</v>
      </c>
      <c r="H24" s="18">
        <f>Reference!F94</f>
        <v>67371.070000000007</v>
      </c>
      <c r="I24" s="18">
        <f>Reference!G94</f>
        <v>13.722</v>
      </c>
      <c r="J24" s="19">
        <f t="shared" si="3"/>
        <v>18.714186111111115</v>
      </c>
      <c r="L24" s="17">
        <f>Test!B94</f>
        <v>4372.5479999999998</v>
      </c>
      <c r="M24" s="18">
        <f>Test!C94</f>
        <v>37.8598</v>
      </c>
      <c r="N24" s="18">
        <f>Test!D94</f>
        <v>43.104599999999998</v>
      </c>
      <c r="O24" s="18">
        <f>Test!E94</f>
        <v>43.617800000000003</v>
      </c>
      <c r="P24" s="18">
        <f>Test!F94</f>
        <v>69496.45</v>
      </c>
      <c r="Q24" s="18">
        <f>Test!G94</f>
        <v>13.853999999999999</v>
      </c>
      <c r="R24" s="19">
        <f t="shared" si="4"/>
        <v>19.304569444444443</v>
      </c>
      <c r="S24" s="17">
        <f t="shared" si="5"/>
        <v>1.0315473689225954</v>
      </c>
      <c r="T24" s="18">
        <f t="shared" si="6"/>
        <v>1.0096195889811981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Reference!B95</f>
        <v>2236.944</v>
      </c>
      <c r="E25" s="18">
        <f>Reference!C95</f>
        <v>36.360100000000003</v>
      </c>
      <c r="F25" s="18">
        <f>Reference!D95</f>
        <v>41.990099999999998</v>
      </c>
      <c r="G25" s="18">
        <f>Reference!E95</f>
        <v>41.975000000000001</v>
      </c>
      <c r="H25" s="18">
        <f>Reference!F95</f>
        <v>36880.940999999999</v>
      </c>
      <c r="I25" s="18">
        <f>Reference!G95</f>
        <v>11.941000000000001</v>
      </c>
      <c r="J25" s="19">
        <f t="shared" si="3"/>
        <v>10.244705833333333</v>
      </c>
      <c r="L25" s="17">
        <f>Test!B95</f>
        <v>2229.4119999999998</v>
      </c>
      <c r="M25" s="18">
        <f>Test!C95</f>
        <v>36.365299999999998</v>
      </c>
      <c r="N25" s="18">
        <f>Test!D95</f>
        <v>42.003799999999998</v>
      </c>
      <c r="O25" s="18">
        <f>Test!E95</f>
        <v>41.985700000000001</v>
      </c>
      <c r="P25" s="18">
        <f>Test!F95</f>
        <v>38962.159</v>
      </c>
      <c r="Q25" s="18">
        <f>Test!G95</f>
        <v>12.518000000000001</v>
      </c>
      <c r="R25" s="19">
        <f t="shared" si="4"/>
        <v>10.822821944444444</v>
      </c>
      <c r="S25" s="17">
        <f t="shared" si="5"/>
        <v>1.0564307185112225</v>
      </c>
      <c r="T25" s="18">
        <f t="shared" si="6"/>
        <v>1.0483209111464702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Reference!B96</f>
        <v>1102.78</v>
      </c>
      <c r="E26" s="23">
        <f>Reference!C96</f>
        <v>34.294499999999999</v>
      </c>
      <c r="F26" s="23">
        <f>Reference!D96</f>
        <v>40.634799999999998</v>
      </c>
      <c r="G26" s="23">
        <f>Reference!E96</f>
        <v>40.153100000000002</v>
      </c>
      <c r="H26" s="23">
        <f>Reference!F96</f>
        <v>20895.306</v>
      </c>
      <c r="I26" s="23">
        <f>Reference!G96</f>
        <v>10.393000000000001</v>
      </c>
      <c r="J26" s="24">
        <f t="shared" si="3"/>
        <v>5.8042516666666666</v>
      </c>
      <c r="L26" s="22">
        <f>Test!B96</f>
        <v>1095.6679999999999</v>
      </c>
      <c r="M26" s="23">
        <f>Test!C96</f>
        <v>34.297600000000003</v>
      </c>
      <c r="N26" s="23">
        <f>Test!D96</f>
        <v>40.647199999999998</v>
      </c>
      <c r="O26" s="23">
        <f>Test!E96</f>
        <v>40.146999999999998</v>
      </c>
      <c r="P26" s="23">
        <f>Test!F96</f>
        <v>21286.767</v>
      </c>
      <c r="Q26" s="23">
        <f>Test!G96</f>
        <v>10.266</v>
      </c>
      <c r="R26" s="24">
        <f t="shared" si="4"/>
        <v>5.9129908333333336</v>
      </c>
      <c r="S26" s="17">
        <f t="shared" si="5"/>
        <v>1.0187343990080835</v>
      </c>
      <c r="T26" s="18">
        <f t="shared" si="6"/>
        <v>0.98778023669777726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Reference!B97</f>
        <v>6898.6480000000001</v>
      </c>
      <c r="E27" s="13">
        <f>Reference!C97</f>
        <v>39.6569</v>
      </c>
      <c r="F27" s="13">
        <f>Reference!D97</f>
        <v>43.66</v>
      </c>
      <c r="G27" s="13">
        <f>Reference!E97</f>
        <v>44.867199999999997</v>
      </c>
      <c r="H27" s="13">
        <f>Reference!F97</f>
        <v>100181.37699999999</v>
      </c>
      <c r="I27" s="13">
        <f>Reference!G97</f>
        <v>15.750999999999999</v>
      </c>
      <c r="J27" s="14">
        <f>H27/3600</f>
        <v>27.828160277777776</v>
      </c>
      <c r="L27" s="12">
        <f>Test!B97</f>
        <v>6881.7</v>
      </c>
      <c r="M27" s="13">
        <f>Test!C97</f>
        <v>39.660400000000003</v>
      </c>
      <c r="N27" s="13">
        <f>Test!D97</f>
        <v>43.660600000000002</v>
      </c>
      <c r="O27" s="13">
        <f>Test!E97</f>
        <v>44.869</v>
      </c>
      <c r="P27" s="13">
        <f>Test!F97</f>
        <v>103510.992</v>
      </c>
      <c r="Q27" s="13">
        <f>Test!G97</f>
        <v>15.819000000000001</v>
      </c>
      <c r="R27" s="14">
        <f>P27/3600</f>
        <v>28.753053333333334</v>
      </c>
      <c r="S27" s="17">
        <f t="shared" si="2"/>
        <v>1.0332358677800966</v>
      </c>
      <c r="T27" s="18">
        <f t="shared" si="2"/>
        <v>1.0043171862103994</v>
      </c>
      <c r="U27" s="91"/>
      <c r="V27" s="37">
        <f>bdrate($D27:$D30,E27:E30,$L27:$L30,M27:M30)</f>
        <v>-5.843720047372547E-3</v>
      </c>
      <c r="W27" s="42">
        <f>bdrate($D27:$D30,F27:F30,$L27:$L30,N27:N30)</f>
        <v>-5.9294011483619347E-3</v>
      </c>
      <c r="X27" s="43">
        <f>bdrate($D27:$D30,G27:G30,$L27:$L30,O27:O30)</f>
        <v>-3.9702343202250301E-3</v>
      </c>
      <c r="Y27" s="37">
        <f>bdrateOld($D27:$D30,E27:E30,$L27:$L30,M27:M30)</f>
        <v>-5.7529843548352888E-3</v>
      </c>
      <c r="Z27" s="42">
        <f>bdrateOld($D27:$D30,F27:F30,$L27:$L30,N27:N30)</f>
        <v>-6.0951803480565614E-3</v>
      </c>
      <c r="AA27" s="43">
        <f>bdrateOld($D27:$D30,G27:G30,$L27:$L30,O27:O30)</f>
        <v>-5.1581963328380942E-3</v>
      </c>
    </row>
    <row r="28" spans="1:27" x14ac:dyDescent="0.2">
      <c r="A28" s="16"/>
      <c r="B28" s="85"/>
      <c r="C28" s="16">
        <v>48</v>
      </c>
      <c r="D28" s="17">
        <f>Reference!B98</f>
        <v>3244.9720000000002</v>
      </c>
      <c r="E28" s="18">
        <f>Reference!C98</f>
        <v>38.460299999999997</v>
      </c>
      <c r="F28" s="18">
        <f>Reference!D98</f>
        <v>42.894500000000001</v>
      </c>
      <c r="G28" s="18">
        <f>Reference!E98</f>
        <v>44.1907</v>
      </c>
      <c r="H28" s="18">
        <f>Reference!F98</f>
        <v>60119.913</v>
      </c>
      <c r="I28" s="18">
        <f>Reference!G98</f>
        <v>13.997</v>
      </c>
      <c r="J28" s="19">
        <f t="shared" ref="J28:J46" si="7">H28/3600</f>
        <v>16.699975833333333</v>
      </c>
      <c r="L28" s="17">
        <f>Test!B98</f>
        <v>3234.924</v>
      </c>
      <c r="M28" s="18">
        <f>Test!C98</f>
        <v>38.463799999999999</v>
      </c>
      <c r="N28" s="18">
        <f>Test!D98</f>
        <v>42.893599999999999</v>
      </c>
      <c r="O28" s="18">
        <f>Test!E98</f>
        <v>44.1813</v>
      </c>
      <c r="P28" s="18">
        <f>Test!F98</f>
        <v>62742.358999999997</v>
      </c>
      <c r="Q28" s="18">
        <f>Test!G98</f>
        <v>14.090999999999999</v>
      </c>
      <c r="R28" s="19">
        <f t="shared" ref="R28:R46" si="8">P28/3600</f>
        <v>17.428433055555555</v>
      </c>
      <c r="S28" s="17">
        <f t="shared" si="2"/>
        <v>1.0436202560705634</v>
      </c>
      <c r="T28" s="18">
        <f t="shared" si="2"/>
        <v>1.0067157247981711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Reference!B99</f>
        <v>1544.116</v>
      </c>
      <c r="E29" s="18">
        <f>Reference!C99</f>
        <v>36.756</v>
      </c>
      <c r="F29" s="18">
        <f>Reference!D99</f>
        <v>41.892299999999999</v>
      </c>
      <c r="G29" s="18">
        <f>Reference!E99</f>
        <v>43.175600000000003</v>
      </c>
      <c r="H29" s="18">
        <f>Reference!F99</f>
        <v>33078.067000000003</v>
      </c>
      <c r="I29" s="18">
        <f>Reference!G99</f>
        <v>12.49</v>
      </c>
      <c r="J29" s="19">
        <f t="shared" si="7"/>
        <v>9.1883519444444453</v>
      </c>
      <c r="L29" s="17">
        <f>Test!B99</f>
        <v>1538.796</v>
      </c>
      <c r="M29" s="18">
        <f>Test!C99</f>
        <v>36.760100000000001</v>
      </c>
      <c r="N29" s="18">
        <f>Test!D99</f>
        <v>41.898099999999999</v>
      </c>
      <c r="O29" s="18">
        <f>Test!E99</f>
        <v>43.176499999999997</v>
      </c>
      <c r="P29" s="18">
        <f>Test!F99</f>
        <v>33639.252999999997</v>
      </c>
      <c r="Q29" s="18">
        <f>Test!G99</f>
        <v>12.840999999999999</v>
      </c>
      <c r="R29" s="19">
        <f t="shared" si="8"/>
        <v>9.3442369444444431</v>
      </c>
      <c r="S29" s="17">
        <f t="shared" si="2"/>
        <v>1.0169655016419186</v>
      </c>
      <c r="T29" s="18">
        <f t="shared" si="2"/>
        <v>1.0281024819855884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Reference!B100</f>
        <v>694.24400000000003</v>
      </c>
      <c r="E30" s="23">
        <f>Reference!C100</f>
        <v>34.5304</v>
      </c>
      <c r="F30" s="23">
        <f>Reference!D100</f>
        <v>40.616900000000001</v>
      </c>
      <c r="G30" s="23">
        <f>Reference!E100</f>
        <v>41.811199999999999</v>
      </c>
      <c r="H30" s="23">
        <f>Reference!F100</f>
        <v>17298.918000000001</v>
      </c>
      <c r="I30" s="23">
        <f>Reference!G100</f>
        <v>10.677</v>
      </c>
      <c r="J30" s="24">
        <f t="shared" si="7"/>
        <v>4.8052550000000007</v>
      </c>
      <c r="L30" s="22">
        <f>Test!B100</f>
        <v>688.43200000000002</v>
      </c>
      <c r="M30" s="23">
        <f>Test!C100</f>
        <v>34.535200000000003</v>
      </c>
      <c r="N30" s="23">
        <f>Test!D100</f>
        <v>40.619599999999998</v>
      </c>
      <c r="O30" s="23">
        <f>Test!E100</f>
        <v>41.830500000000001</v>
      </c>
      <c r="P30" s="23">
        <f>Test!F100</f>
        <v>17060.939999999999</v>
      </c>
      <c r="Q30" s="23">
        <f>Test!G100</f>
        <v>10.79</v>
      </c>
      <c r="R30" s="24">
        <f t="shared" si="8"/>
        <v>4.7391499999999995</v>
      </c>
      <c r="S30" s="17">
        <f t="shared" si="2"/>
        <v>0.98624318584549608</v>
      </c>
      <c r="T30" s="18">
        <f t="shared" si="2"/>
        <v>1.0105834972370515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Reference!B101</f>
        <v>5762.9080000000004</v>
      </c>
      <c r="E31" s="13">
        <f>Reference!C101</f>
        <v>44.831499999999998</v>
      </c>
      <c r="F31" s="13">
        <f>Reference!D101</f>
        <v>47.206800000000001</v>
      </c>
      <c r="G31" s="13">
        <f>Reference!E101</f>
        <v>48.178800000000003</v>
      </c>
      <c r="H31" s="13">
        <f>Reference!F101</f>
        <v>71738.732000000004</v>
      </c>
      <c r="I31" s="13">
        <f>Reference!G101</f>
        <v>15.714</v>
      </c>
      <c r="J31" s="14">
        <f t="shared" si="7"/>
        <v>19.927425555555555</v>
      </c>
      <c r="L31" s="12">
        <f>Test!B101</f>
        <v>5760.1279999999997</v>
      </c>
      <c r="M31" s="13">
        <f>Test!C101</f>
        <v>44.8337</v>
      </c>
      <c r="N31" s="13">
        <f>Test!D101</f>
        <v>47.1982</v>
      </c>
      <c r="O31" s="13">
        <f>Test!E101</f>
        <v>48.170200000000001</v>
      </c>
      <c r="P31" s="13">
        <f>Test!F101</f>
        <v>77728.748000000007</v>
      </c>
      <c r="Q31" s="13">
        <f>Test!G101</f>
        <v>16.202999999999999</v>
      </c>
      <c r="R31" s="14">
        <f t="shared" si="8"/>
        <v>21.591318888888893</v>
      </c>
      <c r="S31" s="17">
        <f t="shared" si="2"/>
        <v>1.0834976564681964</v>
      </c>
      <c r="T31" s="18">
        <f t="shared" si="2"/>
        <v>1.031118747613593</v>
      </c>
      <c r="U31" s="91"/>
      <c r="V31" s="37">
        <f>bdrate($D31:$D34,E31:E34,$L31:$L34,M31:M34)</f>
        <v>-2.026123455214246E-3</v>
      </c>
      <c r="W31" s="42">
        <f>bdrate($D31:$D34,F31:F34,$L31:$L34,N31:N34)</f>
        <v>-3.937482036279194E-3</v>
      </c>
      <c r="X31" s="42">
        <f>bdrate($D31:$D34,G31:G34,$L31:$L34,O31:O34)</f>
        <v>-1.7965867186776618E-3</v>
      </c>
      <c r="Y31" s="40">
        <f>bdrateOld($D31:$D34,E31:E34,$L31:$L34,M31:M34)</f>
        <v>-2.0928097240177079E-3</v>
      </c>
      <c r="Z31" s="44">
        <f>bdrateOld($D31:$D34,F31:F34,$L31:$L34,N31:N34)</f>
        <v>-3.9355259031956802E-3</v>
      </c>
      <c r="AA31" s="45">
        <f>bdrateOld($D31:$D34,G31:G34,$L31:$L34,O31:O34)</f>
        <v>-1.8943729110690866E-3</v>
      </c>
    </row>
    <row r="32" spans="1:27" x14ac:dyDescent="0.2">
      <c r="A32" s="16"/>
      <c r="B32" s="85"/>
      <c r="C32" s="16">
        <v>48</v>
      </c>
      <c r="D32" s="17">
        <f>Reference!B102</f>
        <v>3533.7440000000001</v>
      </c>
      <c r="E32" s="18">
        <f>Reference!C102</f>
        <v>42.594099999999997</v>
      </c>
      <c r="F32" s="18">
        <f>Reference!D102</f>
        <v>45.651699999999998</v>
      </c>
      <c r="G32" s="18">
        <f>Reference!E102</f>
        <v>46.453899999999997</v>
      </c>
      <c r="H32" s="18">
        <f>Reference!F102</f>
        <v>50537.139000000003</v>
      </c>
      <c r="I32" s="18">
        <f>Reference!G102</f>
        <v>14.365</v>
      </c>
      <c r="J32" s="19">
        <f t="shared" si="7"/>
        <v>14.038094166666667</v>
      </c>
      <c r="L32" s="17">
        <f>Test!B102</f>
        <v>3528.9960000000001</v>
      </c>
      <c r="M32" s="18">
        <f>Test!C102</f>
        <v>42.592500000000001</v>
      </c>
      <c r="N32" s="18">
        <f>Test!D102</f>
        <v>45.655900000000003</v>
      </c>
      <c r="O32" s="18">
        <f>Test!E102</f>
        <v>46.431699999999999</v>
      </c>
      <c r="P32" s="18">
        <f>Test!F102</f>
        <v>53062.51</v>
      </c>
      <c r="Q32" s="18">
        <f>Test!G102</f>
        <v>14.621</v>
      </c>
      <c r="R32" s="19">
        <f t="shared" si="8"/>
        <v>14.739586111111112</v>
      </c>
      <c r="S32" s="17">
        <f t="shared" si="2"/>
        <v>1.0499705968713424</v>
      </c>
      <c r="T32" s="18">
        <f t="shared" si="2"/>
        <v>1.0178210929342151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Reference!B103</f>
        <v>1966.6759999999999</v>
      </c>
      <c r="E33" s="18">
        <f>Reference!C103</f>
        <v>39.781300000000002</v>
      </c>
      <c r="F33" s="18">
        <f>Reference!D103</f>
        <v>43.993899999999996</v>
      </c>
      <c r="G33" s="18">
        <f>Reference!E103</f>
        <v>44.548200000000001</v>
      </c>
      <c r="H33" s="18">
        <f>Reference!F103</f>
        <v>32999.968999999997</v>
      </c>
      <c r="I33" s="18">
        <f>Reference!G103</f>
        <v>12.978999999999999</v>
      </c>
      <c r="J33" s="19">
        <f t="shared" si="7"/>
        <v>9.1666580555555548</v>
      </c>
      <c r="L33" s="17">
        <f>Test!B103</f>
        <v>1962.212</v>
      </c>
      <c r="M33" s="18">
        <f>Test!C103</f>
        <v>39.784999999999997</v>
      </c>
      <c r="N33" s="18">
        <f>Test!D103</f>
        <v>44.004800000000003</v>
      </c>
      <c r="O33" s="18">
        <f>Test!E103</f>
        <v>44.559800000000003</v>
      </c>
      <c r="P33" s="18">
        <f>Test!F103</f>
        <v>33772.542000000001</v>
      </c>
      <c r="Q33" s="18">
        <f>Test!G103</f>
        <v>12.891999999999999</v>
      </c>
      <c r="R33" s="19">
        <f t="shared" si="8"/>
        <v>9.3812616666666671</v>
      </c>
      <c r="S33" s="17">
        <f t="shared" si="2"/>
        <v>1.0234113250227599</v>
      </c>
      <c r="T33" s="18">
        <f t="shared" si="2"/>
        <v>0.99329686416518992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Reference!B104</f>
        <v>996.67600000000004</v>
      </c>
      <c r="E34" s="23">
        <f>Reference!C104</f>
        <v>36.602800000000002</v>
      </c>
      <c r="F34" s="23">
        <f>Reference!D104</f>
        <v>42.348500000000001</v>
      </c>
      <c r="G34" s="23">
        <f>Reference!E104</f>
        <v>42.644100000000002</v>
      </c>
      <c r="H34" s="23">
        <f>Reference!F104</f>
        <v>18886.432000000001</v>
      </c>
      <c r="I34" s="23">
        <f>Reference!G104</f>
        <v>10.965999999999999</v>
      </c>
      <c r="J34" s="24">
        <f t="shared" si="7"/>
        <v>5.2462311111111113</v>
      </c>
      <c r="L34" s="22">
        <f>Test!B104</f>
        <v>995.24800000000005</v>
      </c>
      <c r="M34" s="23">
        <f>Test!C104</f>
        <v>36.605400000000003</v>
      </c>
      <c r="N34" s="23">
        <f>Test!D104</f>
        <v>42.357500000000002</v>
      </c>
      <c r="O34" s="23">
        <f>Test!E104</f>
        <v>42.671399999999998</v>
      </c>
      <c r="P34" s="23">
        <f>Test!F104</f>
        <v>19333.82</v>
      </c>
      <c r="Q34" s="23">
        <f>Test!G104</f>
        <v>10.968999999999999</v>
      </c>
      <c r="R34" s="24">
        <f t="shared" si="8"/>
        <v>5.3705055555555559</v>
      </c>
      <c r="S34" s="17">
        <f t="shared" si="2"/>
        <v>1.0236883282136084</v>
      </c>
      <c r="T34" s="18">
        <f t="shared" si="2"/>
        <v>1.0002735728615721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Reference!B105</f>
        <v>4193.8559999999998</v>
      </c>
      <c r="E35" s="13">
        <f>Reference!C105</f>
        <v>38.528300000000002</v>
      </c>
      <c r="F35" s="13">
        <f>Reference!D105</f>
        <v>45.814900000000002</v>
      </c>
      <c r="G35" s="13">
        <f>Reference!E105</f>
        <v>46.028599999999997</v>
      </c>
      <c r="H35" s="13">
        <f>Reference!F105</f>
        <v>49638.125999999997</v>
      </c>
      <c r="I35" s="13">
        <f>Reference!G105</f>
        <v>6.49</v>
      </c>
      <c r="J35" s="14">
        <f t="shared" si="7"/>
        <v>13.788368333333333</v>
      </c>
      <c r="L35" s="12">
        <f>Test!B105</f>
        <v>4192.76</v>
      </c>
      <c r="M35" s="13">
        <f>Test!C105</f>
        <v>38.5488</v>
      </c>
      <c r="N35" s="13">
        <f>Test!D105</f>
        <v>45.8249</v>
      </c>
      <c r="O35" s="13">
        <f>Test!E105</f>
        <v>46.024500000000003</v>
      </c>
      <c r="P35" s="13">
        <f>Test!F105</f>
        <v>51038.959000000003</v>
      </c>
      <c r="Q35" s="13">
        <f>Test!G105</f>
        <v>6.7949999999999999</v>
      </c>
      <c r="R35" s="14">
        <f t="shared" si="8"/>
        <v>14.177488611111112</v>
      </c>
      <c r="S35" s="12">
        <f t="shared" si="2"/>
        <v>1.0282209082591072</v>
      </c>
      <c r="T35" s="13">
        <f t="shared" si="2"/>
        <v>1.0469953775038521</v>
      </c>
      <c r="U35" s="90"/>
      <c r="V35" s="37">
        <f>bdrate($D35:$D38,E35:E38,$L35:$L38,M35:M38)</f>
        <v>-7.1803378902539627E-3</v>
      </c>
      <c r="W35" s="42">
        <f>bdrate($D35:$D38,F35:F38,$L35:$L38,N35:N38)</f>
        <v>-6.1018911307787471E-3</v>
      </c>
      <c r="X35" s="42">
        <f>bdrate($D35:$D38,G35:G38,$L35:$L38,O35:O38)</f>
        <v>-3.4285042901786023E-3</v>
      </c>
      <c r="Y35" s="40">
        <f>bdrateOld($D35:$D38,E35:E38,$L35:$L38,M35:M38)</f>
        <v>-7.0725709533316916E-3</v>
      </c>
      <c r="Z35" s="44">
        <f>bdrateOld($D35:$D38,F35:F38,$L35:$L38,N35:N38)</f>
        <v>-6.0991044915525983E-3</v>
      </c>
      <c r="AA35" s="45">
        <f>bdrateOld($D35:$D38,G35:G38,$L35:$L38,O35:O38)</f>
        <v>-3.2413206066644884E-3</v>
      </c>
    </row>
    <row r="36" spans="1:27" x14ac:dyDescent="0.2">
      <c r="A36" s="16" t="s">
        <v>52</v>
      </c>
      <c r="B36" s="85"/>
      <c r="C36" s="16">
        <v>32</v>
      </c>
      <c r="D36" s="17">
        <f>Reference!B106</f>
        <v>1776.068</v>
      </c>
      <c r="E36" s="18">
        <f>Reference!C106</f>
        <v>36.929699999999997</v>
      </c>
      <c r="F36" s="18">
        <f>Reference!D106</f>
        <v>44.6404</v>
      </c>
      <c r="G36" s="18">
        <f>Reference!E106</f>
        <v>44.820500000000003</v>
      </c>
      <c r="H36" s="18">
        <f>Reference!F106</f>
        <v>27306.136999999999</v>
      </c>
      <c r="I36" s="18">
        <f>Reference!G106</f>
        <v>5.4029999999999996</v>
      </c>
      <c r="J36" s="19">
        <f t="shared" si="7"/>
        <v>7.5850380555555557</v>
      </c>
      <c r="L36" s="17">
        <f>Test!B106</f>
        <v>1770.2360000000001</v>
      </c>
      <c r="M36" s="18">
        <f>Test!C106</f>
        <v>36.945</v>
      </c>
      <c r="N36" s="18">
        <f>Test!D106</f>
        <v>44.648299999999999</v>
      </c>
      <c r="O36" s="18">
        <f>Test!E106</f>
        <v>44.827599999999997</v>
      </c>
      <c r="P36" s="18">
        <f>Test!F106</f>
        <v>27543.671999999999</v>
      </c>
      <c r="Q36" s="18">
        <f>Test!G106</f>
        <v>5.3410000000000002</v>
      </c>
      <c r="R36" s="19">
        <f t="shared" si="8"/>
        <v>7.6510199999999999</v>
      </c>
      <c r="S36" s="17">
        <f t="shared" si="2"/>
        <v>1.0086989602374001</v>
      </c>
      <c r="T36" s="18">
        <f t="shared" si="2"/>
        <v>0.98852489357764217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Reference!B107</f>
        <v>819</v>
      </c>
      <c r="E37" s="18">
        <f>Reference!C107</f>
        <v>34.944800000000001</v>
      </c>
      <c r="F37" s="18">
        <f>Reference!D107</f>
        <v>43.135399999999997</v>
      </c>
      <c r="G37" s="18">
        <f>Reference!E107</f>
        <v>43.423299999999998</v>
      </c>
      <c r="H37" s="18">
        <f>Reference!F107</f>
        <v>14890.583000000001</v>
      </c>
      <c r="I37" s="18">
        <f>Reference!G107</f>
        <v>4.8209999999999997</v>
      </c>
      <c r="J37" s="19">
        <f t="shared" si="7"/>
        <v>4.1362730555555558</v>
      </c>
      <c r="L37" s="17">
        <f>Test!B107</f>
        <v>815.12</v>
      </c>
      <c r="M37" s="18">
        <f>Test!C107</f>
        <v>34.945599999999999</v>
      </c>
      <c r="N37" s="18">
        <f>Test!D107</f>
        <v>43.138300000000001</v>
      </c>
      <c r="O37" s="18">
        <f>Test!E107</f>
        <v>43.424300000000002</v>
      </c>
      <c r="P37" s="18">
        <f>Test!F107</f>
        <v>15178.697</v>
      </c>
      <c r="Q37" s="18">
        <f>Test!G107</f>
        <v>5.0730000000000004</v>
      </c>
      <c r="R37" s="19">
        <f t="shared" si="8"/>
        <v>4.2163047222222225</v>
      </c>
      <c r="S37" s="17">
        <f t="shared" si="2"/>
        <v>1.0193487387297058</v>
      </c>
      <c r="T37" s="18">
        <f t="shared" si="2"/>
        <v>1.0522713130056007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Reference!B108</f>
        <v>392.02800000000002</v>
      </c>
      <c r="E38" s="23">
        <f>Reference!C108</f>
        <v>32.324300000000001</v>
      </c>
      <c r="F38" s="23">
        <f>Reference!D108</f>
        <v>41.2119</v>
      </c>
      <c r="G38" s="23">
        <f>Reference!E108</f>
        <v>41.773400000000002</v>
      </c>
      <c r="H38" s="23">
        <f>Reference!F108</f>
        <v>7836.8860000000004</v>
      </c>
      <c r="I38" s="23">
        <f>Reference!G108</f>
        <v>4.1369999999999996</v>
      </c>
      <c r="J38" s="24">
        <f t="shared" si="7"/>
        <v>2.1769127777777779</v>
      </c>
      <c r="L38" s="22">
        <f>Test!B108</f>
        <v>391.72</v>
      </c>
      <c r="M38" s="23">
        <f>Test!C108</f>
        <v>32.339799999999997</v>
      </c>
      <c r="N38" s="23">
        <f>Test!D108</f>
        <v>41.212899999999998</v>
      </c>
      <c r="O38" s="23">
        <f>Test!E108</f>
        <v>41.753999999999998</v>
      </c>
      <c r="P38" s="23">
        <f>Test!F108</f>
        <v>7801.2020000000002</v>
      </c>
      <c r="Q38" s="23">
        <f>Test!G108</f>
        <v>4.0060000000000002</v>
      </c>
      <c r="R38" s="24">
        <f t="shared" si="8"/>
        <v>2.1670005555555556</v>
      </c>
      <c r="S38" s="17">
        <f t="shared" si="2"/>
        <v>0.9954466608293141</v>
      </c>
      <c r="T38" s="18">
        <f t="shared" si="2"/>
        <v>0.96833454193860302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Reference!B109</f>
        <v>2482.9760000000001</v>
      </c>
      <c r="E39" s="13">
        <f>Reference!C109</f>
        <v>40.595799999999997</v>
      </c>
      <c r="F39" s="13">
        <f>Reference!D109</f>
        <v>46.082799999999999</v>
      </c>
      <c r="G39" s="13">
        <f>Reference!E109</f>
        <v>47.178800000000003</v>
      </c>
      <c r="H39" s="13">
        <f>Reference!F109</f>
        <v>38188.834000000003</v>
      </c>
      <c r="I39" s="13">
        <f>Reference!G109</f>
        <v>6.86</v>
      </c>
      <c r="J39" s="14">
        <f t="shared" si="7"/>
        <v>10.608009444444445</v>
      </c>
      <c r="L39" s="12">
        <f>Test!B109</f>
        <v>2478.3719999999998</v>
      </c>
      <c r="M39" s="13">
        <f>Test!C109</f>
        <v>40.599200000000003</v>
      </c>
      <c r="N39" s="13">
        <f>Test!D109</f>
        <v>46.092799999999997</v>
      </c>
      <c r="O39" s="13">
        <f>Test!E109</f>
        <v>47.175600000000003</v>
      </c>
      <c r="P39" s="13">
        <f>Test!F109</f>
        <v>39725.481</v>
      </c>
      <c r="Q39" s="13">
        <f>Test!G109</f>
        <v>6.8209999999999997</v>
      </c>
      <c r="R39" s="14">
        <f t="shared" si="8"/>
        <v>11.034855833333333</v>
      </c>
      <c r="S39" s="17">
        <f t="shared" si="2"/>
        <v>1.040238123007369</v>
      </c>
      <c r="T39" s="18">
        <f t="shared" si="2"/>
        <v>0.99431486880466469</v>
      </c>
      <c r="U39" s="91"/>
      <c r="V39" s="37">
        <f>bdrate($D39:$D42,E39:E42,$L39:$L42,M39:M42)</f>
        <v>-4.2582959059512815E-3</v>
      </c>
      <c r="W39" s="42">
        <f>bdrate($D39:$D42,F39:F42,$L39:$L42,N39:N42)</f>
        <v>-1.672850974417095E-2</v>
      </c>
      <c r="X39" s="42">
        <f>bdrate($D39:$D42,G39:G42,$L39:$L42,O39:O42)</f>
        <v>-3.4806664592033076E-3</v>
      </c>
      <c r="Y39" s="40">
        <f>bdrateOld($D39:$D42,E39:E42,$L39:$L42,M39:M42)</f>
        <v>-4.4499959967115865E-3</v>
      </c>
      <c r="Z39" s="44">
        <f>bdrateOld($D39:$D42,F39:F42,$L39:$L42,N39:N42)</f>
        <v>-1.7470198705289652E-2</v>
      </c>
      <c r="AA39" s="45">
        <f>bdrateOld($D39:$D42,G39:G42,$L39:$L42,O39:O42)</f>
        <v>-3.5272413486924226E-3</v>
      </c>
    </row>
    <row r="40" spans="1:27" x14ac:dyDescent="0.2">
      <c r="A40" s="16"/>
      <c r="B40" s="85"/>
      <c r="C40" s="16">
        <v>32</v>
      </c>
      <c r="D40" s="17">
        <f>Reference!B110</f>
        <v>1137.32</v>
      </c>
      <c r="E40" s="18">
        <f>Reference!C110</f>
        <v>39.4861</v>
      </c>
      <c r="F40" s="18">
        <f>Reference!D110</f>
        <v>45.508000000000003</v>
      </c>
      <c r="G40" s="18">
        <f>Reference!E110</f>
        <v>45.935899999999997</v>
      </c>
      <c r="H40" s="18">
        <f>Reference!F110</f>
        <v>21204.74</v>
      </c>
      <c r="I40" s="18">
        <f>Reference!G110</f>
        <v>5.8970000000000002</v>
      </c>
      <c r="J40" s="19">
        <f t="shared" si="7"/>
        <v>5.8902055555555561</v>
      </c>
      <c r="L40" s="17">
        <f>Test!B110</f>
        <v>1135.0160000000001</v>
      </c>
      <c r="M40" s="18">
        <f>Test!C110</f>
        <v>39.490099999999998</v>
      </c>
      <c r="N40" s="18">
        <f>Test!D110</f>
        <v>45.5182</v>
      </c>
      <c r="O40" s="18">
        <f>Test!E110</f>
        <v>45.938200000000002</v>
      </c>
      <c r="P40" s="18">
        <f>Test!F110</f>
        <v>21597.958999999999</v>
      </c>
      <c r="Q40" s="18">
        <f>Test!G110</f>
        <v>5.9530000000000003</v>
      </c>
      <c r="R40" s="19">
        <f t="shared" si="8"/>
        <v>5.9994330555555555</v>
      </c>
      <c r="S40" s="17">
        <f t="shared" si="2"/>
        <v>1.0185439198971549</v>
      </c>
      <c r="T40" s="18">
        <f t="shared" si="2"/>
        <v>1.009496354078345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Reference!B111</f>
        <v>536.70000000000005</v>
      </c>
      <c r="E41" s="18">
        <f>Reference!C111</f>
        <v>37.924500000000002</v>
      </c>
      <c r="F41" s="18">
        <f>Reference!D111</f>
        <v>44.680199999999999</v>
      </c>
      <c r="G41" s="18">
        <f>Reference!E111</f>
        <v>44.283999999999999</v>
      </c>
      <c r="H41" s="18">
        <f>Reference!F111</f>
        <v>11155.387000000001</v>
      </c>
      <c r="I41" s="18">
        <f>Reference!G111</f>
        <v>5.093</v>
      </c>
      <c r="J41" s="19">
        <f t="shared" si="7"/>
        <v>3.0987186111111114</v>
      </c>
      <c r="L41" s="17">
        <f>Test!B111</f>
        <v>533.87199999999996</v>
      </c>
      <c r="M41" s="18">
        <f>Test!C111</f>
        <v>37.923699999999997</v>
      </c>
      <c r="N41" s="18">
        <f>Test!D111</f>
        <v>44.6965</v>
      </c>
      <c r="O41" s="18">
        <f>Test!E111</f>
        <v>44.284300000000002</v>
      </c>
      <c r="P41" s="18">
        <f>Test!F111</f>
        <v>11318.174000000001</v>
      </c>
      <c r="Q41" s="18">
        <f>Test!G111</f>
        <v>5.149</v>
      </c>
      <c r="R41" s="19">
        <f t="shared" si="8"/>
        <v>3.1439372222222226</v>
      </c>
      <c r="S41" s="17">
        <f t="shared" si="2"/>
        <v>1.014592680648372</v>
      </c>
      <c r="T41" s="18">
        <f t="shared" si="2"/>
        <v>1.0109954839976438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Reference!B112</f>
        <v>242.42</v>
      </c>
      <c r="E42" s="23">
        <f>Reference!C112</f>
        <v>35.817</v>
      </c>
      <c r="F42" s="23">
        <f>Reference!D112</f>
        <v>43.526800000000001</v>
      </c>
      <c r="G42" s="23">
        <f>Reference!E112</f>
        <v>42.436</v>
      </c>
      <c r="H42" s="23">
        <f>Reference!F112</f>
        <v>5687.9620000000004</v>
      </c>
      <c r="I42" s="23">
        <f>Reference!G112</f>
        <v>4.6239999999999997</v>
      </c>
      <c r="J42" s="24">
        <f t="shared" si="7"/>
        <v>1.5799894444444447</v>
      </c>
      <c r="L42" s="22">
        <f>Test!B112</f>
        <v>242.38399999999999</v>
      </c>
      <c r="M42" s="23">
        <f>Test!C112</f>
        <v>35.822800000000001</v>
      </c>
      <c r="N42" s="23">
        <f>Test!D112</f>
        <v>43.556399999999996</v>
      </c>
      <c r="O42" s="23">
        <f>Test!E112</f>
        <v>42.437399999999997</v>
      </c>
      <c r="P42" s="23">
        <f>Test!F112</f>
        <v>5682.2719999999999</v>
      </c>
      <c r="Q42" s="23">
        <f>Test!G112</f>
        <v>4.4169999999999998</v>
      </c>
      <c r="R42" s="24">
        <f t="shared" si="8"/>
        <v>1.578408888888889</v>
      </c>
      <c r="S42" s="17">
        <f t="shared" si="2"/>
        <v>0.99899964169943456</v>
      </c>
      <c r="T42" s="18">
        <f t="shared" si="2"/>
        <v>0.95523356401384085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Reference!B113</f>
        <v>946.65200000000004</v>
      </c>
      <c r="E43" s="13">
        <f>Reference!C113</f>
        <v>43.477400000000003</v>
      </c>
      <c r="F43" s="13">
        <f>Reference!D113</f>
        <v>47.107599999999998</v>
      </c>
      <c r="G43" s="13">
        <f>Reference!E113</f>
        <v>48.103999999999999</v>
      </c>
      <c r="H43" s="13">
        <f>Reference!F113</f>
        <v>17585.47</v>
      </c>
      <c r="I43" s="13">
        <f>Reference!G113</f>
        <v>4.7750000000000004</v>
      </c>
      <c r="J43" s="14">
        <f t="shared" si="7"/>
        <v>4.8848527777777777</v>
      </c>
      <c r="L43" s="12">
        <f>Test!B113</f>
        <v>945.16399999999999</v>
      </c>
      <c r="M43" s="13">
        <f>Test!C113</f>
        <v>43.478999999999999</v>
      </c>
      <c r="N43" s="13">
        <f>Test!D113</f>
        <v>47.100299999999997</v>
      </c>
      <c r="O43" s="13">
        <f>Test!E113</f>
        <v>48.100499999999997</v>
      </c>
      <c r="P43" s="13">
        <f>Test!F113</f>
        <v>17742.572</v>
      </c>
      <c r="Q43" s="13">
        <f>Test!G113</f>
        <v>4.7679999999999998</v>
      </c>
      <c r="R43" s="14">
        <f t="shared" si="8"/>
        <v>4.9284922222222223</v>
      </c>
      <c r="S43" s="17">
        <f t="shared" si="2"/>
        <v>1.0089336253168097</v>
      </c>
      <c r="T43" s="18">
        <f t="shared" si="2"/>
        <v>0.99853403141361241</v>
      </c>
      <c r="U43" s="91"/>
      <c r="V43" s="37">
        <f>bdrate($D43:$D46,E43:E46,$L43:$L46,M43:M46)</f>
        <v>-4.3651211621215102E-3</v>
      </c>
      <c r="W43" s="42">
        <f>bdrate($D43:$D46,F43:F46,$L43:$L46,N43:N46)</f>
        <v>-7.3047348456435346E-3</v>
      </c>
      <c r="X43" s="42">
        <f>bdrate($D43:$D46,G43:G46,$L43:$L46,O43:O46)</f>
        <v>-1.9986388331024729E-3</v>
      </c>
      <c r="Y43" s="40">
        <f>bdrateOld($D43:$D46,E43:E46,$L43:$L46,M43:M46)</f>
        <v>-3.8130933188469385E-3</v>
      </c>
      <c r="Z43" s="44">
        <f>bdrateOld($D43:$D46,F43:F46,$L43:$L46,N43:N46)</f>
        <v>-6.399740372435514E-3</v>
      </c>
      <c r="AA43" s="45">
        <f>bdrateOld($D43:$D46,G43:G46,$L43:$L46,O43:O46)</f>
        <v>-2.8574719204788046E-3</v>
      </c>
    </row>
    <row r="44" spans="1:27" x14ac:dyDescent="0.2">
      <c r="A44" s="16"/>
      <c r="B44" s="85"/>
      <c r="C44" s="16">
        <v>32</v>
      </c>
      <c r="D44" s="17">
        <f>Reference!B114</f>
        <v>516.34799999999996</v>
      </c>
      <c r="E44" s="18">
        <f>Reference!C114</f>
        <v>42.199199999999998</v>
      </c>
      <c r="F44" s="18">
        <f>Reference!D114</f>
        <v>46.2819</v>
      </c>
      <c r="G44" s="18">
        <f>Reference!E114</f>
        <v>47.1143</v>
      </c>
      <c r="H44" s="18">
        <f>Reference!F114</f>
        <v>10303.862999999999</v>
      </c>
      <c r="I44" s="18">
        <f>Reference!G114</f>
        <v>4.5190000000000001</v>
      </c>
      <c r="J44" s="19">
        <f t="shared" si="7"/>
        <v>2.8621841666666663</v>
      </c>
      <c r="L44" s="17">
        <f>Test!B114</f>
        <v>515.13599999999997</v>
      </c>
      <c r="M44" s="18">
        <f>Test!C114</f>
        <v>42.211799999999997</v>
      </c>
      <c r="N44" s="18">
        <f>Test!D114</f>
        <v>46.287399999999998</v>
      </c>
      <c r="O44" s="18">
        <f>Test!E114</f>
        <v>47.100200000000001</v>
      </c>
      <c r="P44" s="18">
        <f>Test!F114</f>
        <v>10175.359</v>
      </c>
      <c r="Q44" s="18">
        <f>Test!G114</f>
        <v>4.585</v>
      </c>
      <c r="R44" s="19">
        <f t="shared" si="8"/>
        <v>2.8264886111111114</v>
      </c>
      <c r="S44" s="17">
        <f t="shared" si="2"/>
        <v>0.98752856089022156</v>
      </c>
      <c r="T44" s="18">
        <f t="shared" si="2"/>
        <v>1.0146050011064394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Reference!B115</f>
        <v>296.13600000000002</v>
      </c>
      <c r="E45" s="18">
        <f>Reference!C115</f>
        <v>40.4435</v>
      </c>
      <c r="F45" s="18">
        <f>Reference!D115</f>
        <v>45.252600000000001</v>
      </c>
      <c r="G45" s="18">
        <f>Reference!E115</f>
        <v>45.7926</v>
      </c>
      <c r="H45" s="18">
        <f>Reference!F115</f>
        <v>5655.5879999999997</v>
      </c>
      <c r="I45" s="18">
        <f>Reference!G115</f>
        <v>4.3140000000000001</v>
      </c>
      <c r="J45" s="19">
        <f t="shared" si="7"/>
        <v>1.5709966666666666</v>
      </c>
      <c r="L45" s="17">
        <f>Test!B115</f>
        <v>294.80399999999997</v>
      </c>
      <c r="M45" s="18">
        <f>Test!C115</f>
        <v>40.440600000000003</v>
      </c>
      <c r="N45" s="18">
        <f>Test!D115</f>
        <v>45.259</v>
      </c>
      <c r="O45" s="18">
        <f>Test!E115</f>
        <v>45.7851</v>
      </c>
      <c r="P45" s="18">
        <f>Test!F115</f>
        <v>5586.2650000000003</v>
      </c>
      <c r="Q45" s="18">
        <f>Test!G115</f>
        <v>4.2880000000000003</v>
      </c>
      <c r="R45" s="19">
        <f t="shared" si="8"/>
        <v>1.5517402777777778</v>
      </c>
      <c r="S45" s="17">
        <f t="shared" si="2"/>
        <v>0.98774256540610816</v>
      </c>
      <c r="T45" s="18">
        <f t="shared" si="2"/>
        <v>0.99397311080203987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Reference!B116</f>
        <v>164.76</v>
      </c>
      <c r="E46" s="23">
        <f>Reference!C116</f>
        <v>37.884999999999998</v>
      </c>
      <c r="F46" s="23">
        <f>Reference!D116</f>
        <v>43.374699999999997</v>
      </c>
      <c r="G46" s="23">
        <f>Reference!E116</f>
        <v>43.789900000000003</v>
      </c>
      <c r="H46" s="23">
        <f>Reference!F116</f>
        <v>3278.6129999999998</v>
      </c>
      <c r="I46" s="23">
        <f>Reference!G116</f>
        <v>4.3339999999999996</v>
      </c>
      <c r="J46" s="24">
        <f t="shared" si="7"/>
        <v>0.91072583333333323</v>
      </c>
      <c r="L46" s="22">
        <f>Test!B116</f>
        <v>164.08</v>
      </c>
      <c r="M46" s="23">
        <f>Test!C116</f>
        <v>37.877299999999998</v>
      </c>
      <c r="N46" s="23">
        <f>Test!D116</f>
        <v>43.420499999999997</v>
      </c>
      <c r="O46" s="23">
        <f>Test!E116</f>
        <v>43.831699999999998</v>
      </c>
      <c r="P46" s="23">
        <f>Test!F116</f>
        <v>3232.78</v>
      </c>
      <c r="Q46" s="23">
        <f>Test!G116</f>
        <v>4.1180000000000003</v>
      </c>
      <c r="R46" s="24">
        <f t="shared" si="8"/>
        <v>0.89799444444444454</v>
      </c>
      <c r="S46" s="17">
        <f t="shared" si="2"/>
        <v>0.98602061298482024</v>
      </c>
      <c r="T46" s="18">
        <f t="shared" si="2"/>
        <v>0.95016151361329038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Reference!B117</f>
        <v>1342.32</v>
      </c>
      <c r="E47" s="13">
        <f>Reference!C117</f>
        <v>42.845799999999997</v>
      </c>
      <c r="F47" s="13">
        <f>Reference!D117</f>
        <v>48.650300000000001</v>
      </c>
      <c r="G47" s="13">
        <f>Reference!E117</f>
        <v>48.4407</v>
      </c>
      <c r="H47" s="13">
        <f>Reference!F117</f>
        <v>20127.066999999999</v>
      </c>
      <c r="I47" s="13">
        <f>Reference!G117</f>
        <v>4.7770000000000001</v>
      </c>
      <c r="J47" s="14">
        <f>H47/3600</f>
        <v>5.5908519444444442</v>
      </c>
      <c r="L47" s="12">
        <f>Test!B117</f>
        <v>1338.5239999999999</v>
      </c>
      <c r="M47" s="13">
        <f>Test!C117</f>
        <v>42.856999999999999</v>
      </c>
      <c r="N47" s="13">
        <f>Test!D117</f>
        <v>48.640900000000002</v>
      </c>
      <c r="O47" s="13">
        <f>Test!E117</f>
        <v>48.448</v>
      </c>
      <c r="P47" s="13">
        <f>Test!F117</f>
        <v>20559.782999999999</v>
      </c>
      <c r="Q47" s="13">
        <f>Test!G117</f>
        <v>4.8479999999999999</v>
      </c>
      <c r="R47" s="14">
        <f>P47/3600</f>
        <v>5.7110508333333332</v>
      </c>
      <c r="S47" s="17">
        <f t="shared" ref="S47:T62" si="9">P47/H47</f>
        <v>1.0214992080068099</v>
      </c>
      <c r="T47" s="18">
        <f t="shared" si="9"/>
        <v>1.0148628846556416</v>
      </c>
      <c r="U47" s="91"/>
      <c r="V47" s="72">
        <f>bdrate($D47:$D50,E47:E50,$L47:$L50,M47:M50)</f>
        <v>-6.4228938571352368E-3</v>
      </c>
      <c r="W47" s="73">
        <f>bdrate($D47:$D50,F47:F50,$L47:$L50,N47:N50)</f>
        <v>-4.388603790132839E-3</v>
      </c>
      <c r="X47" s="74">
        <f>bdrate($D47:$D50,G47:G50,$L47:$L50,O47:O50)</f>
        <v>-4.7792162030491081E-3</v>
      </c>
      <c r="Y47" s="37">
        <f>bdrateOld($D47:$D50,E47:E50,$L47:$L50,M47:M50)</f>
        <v>-6.2944261313562233E-3</v>
      </c>
      <c r="Z47" s="42">
        <f>bdrateOld($D47:$D50,F47:F50,$L47:$L50,N47:N50)</f>
        <v>-5.1710563013278588E-3</v>
      </c>
      <c r="AA47" s="43">
        <f>bdrateOld($D47:$D50,G47:G50,$L47:$L50,O47:O50)</f>
        <v>-4.3282258698347231E-3</v>
      </c>
    </row>
    <row r="48" spans="1:27" x14ac:dyDescent="0.2">
      <c r="A48" s="16"/>
      <c r="B48" s="85"/>
      <c r="C48" s="16">
        <v>32</v>
      </c>
      <c r="D48" s="17">
        <f>Reference!B118</f>
        <v>724.66</v>
      </c>
      <c r="E48" s="18">
        <f>Reference!C118</f>
        <v>41.566800000000001</v>
      </c>
      <c r="F48" s="18">
        <f>Reference!D118</f>
        <v>47.791400000000003</v>
      </c>
      <c r="G48" s="18">
        <f>Reference!E118</f>
        <v>47.308500000000002</v>
      </c>
      <c r="H48" s="18">
        <f>Reference!F118</f>
        <v>11519.694</v>
      </c>
      <c r="I48" s="18">
        <f>Reference!G118</f>
        <v>4.4450000000000003</v>
      </c>
      <c r="J48" s="19">
        <f t="shared" ref="J48:J70" si="10">H48/3600</f>
        <v>3.1999149999999998</v>
      </c>
      <c r="L48" s="17">
        <f>Test!B118</f>
        <v>722.00400000000002</v>
      </c>
      <c r="M48" s="18">
        <f>Test!C118</f>
        <v>41.578000000000003</v>
      </c>
      <c r="N48" s="18">
        <f>Test!D118</f>
        <v>47.773699999999998</v>
      </c>
      <c r="O48" s="18">
        <f>Test!E118</f>
        <v>47.318899999999999</v>
      </c>
      <c r="P48" s="18">
        <f>Test!F118</f>
        <v>11628.666999999999</v>
      </c>
      <c r="Q48" s="18">
        <f>Test!G118</f>
        <v>4.4800000000000004</v>
      </c>
      <c r="R48" s="19">
        <f t="shared" ref="R48:R70" si="11">P48/3600</f>
        <v>3.2301852777777778</v>
      </c>
      <c r="S48" s="17">
        <f t="shared" si="9"/>
        <v>1.0094597130791843</v>
      </c>
      <c r="T48" s="18">
        <f t="shared" si="9"/>
        <v>1.0078740157480315</v>
      </c>
      <c r="U48" s="91"/>
      <c r="V48" s="75"/>
      <c r="W48" s="76"/>
      <c r="X48" s="77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Reference!B119</f>
        <v>407.89600000000002</v>
      </c>
      <c r="E49" s="18">
        <f>Reference!C119</f>
        <v>39.685299999999998</v>
      </c>
      <c r="F49" s="18">
        <f>Reference!D119</f>
        <v>46.682600000000001</v>
      </c>
      <c r="G49" s="18">
        <f>Reference!E119</f>
        <v>45.740600000000001</v>
      </c>
      <c r="H49" s="18">
        <f>Reference!F119</f>
        <v>6759.0559999999996</v>
      </c>
      <c r="I49" s="18">
        <f>Reference!G119</f>
        <v>4.4729999999999999</v>
      </c>
      <c r="J49" s="19">
        <f t="shared" si="10"/>
        <v>1.8775155555555554</v>
      </c>
      <c r="L49" s="17">
        <f>Test!B119</f>
        <v>406.72399999999999</v>
      </c>
      <c r="M49" s="18">
        <f>Test!C119</f>
        <v>39.695399999999999</v>
      </c>
      <c r="N49" s="18">
        <f>Test!D119</f>
        <v>46.687100000000001</v>
      </c>
      <c r="O49" s="18">
        <f>Test!E119</f>
        <v>45.746200000000002</v>
      </c>
      <c r="P49" s="18">
        <f>Test!F119</f>
        <v>6698.509</v>
      </c>
      <c r="Q49" s="18">
        <f>Test!G119</f>
        <v>4.3019999999999996</v>
      </c>
      <c r="R49" s="19">
        <f t="shared" si="11"/>
        <v>1.8606969444444446</v>
      </c>
      <c r="S49" s="17">
        <f t="shared" si="9"/>
        <v>0.99104209226850615</v>
      </c>
      <c r="T49" s="18">
        <f t="shared" si="9"/>
        <v>0.9617706237424547</v>
      </c>
      <c r="U49" s="91"/>
      <c r="V49" s="75"/>
      <c r="W49" s="76"/>
      <c r="X49" s="77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Reference!B120</f>
        <v>223.84800000000001</v>
      </c>
      <c r="E50" s="23">
        <f>Reference!C120</f>
        <v>36.926600000000001</v>
      </c>
      <c r="F50" s="23">
        <f>Reference!D120</f>
        <v>45.120800000000003</v>
      </c>
      <c r="G50" s="23">
        <f>Reference!E120</f>
        <v>43.463299999999997</v>
      </c>
      <c r="H50" s="23">
        <f>Reference!F120</f>
        <v>4018.88</v>
      </c>
      <c r="I50" s="23">
        <f>Reference!G120</f>
        <v>4.2389999999999999</v>
      </c>
      <c r="J50" s="24">
        <f t="shared" si="10"/>
        <v>1.1163555555555555</v>
      </c>
      <c r="L50" s="22">
        <f>Test!B120</f>
        <v>223.12799999999999</v>
      </c>
      <c r="M50" s="23">
        <f>Test!C120</f>
        <v>36.939700000000002</v>
      </c>
      <c r="N50" s="23">
        <f>Test!D120</f>
        <v>45.195900000000002</v>
      </c>
      <c r="O50" s="23">
        <f>Test!E120</f>
        <v>43.4422</v>
      </c>
      <c r="P50" s="23">
        <f>Test!F120</f>
        <v>3963.739</v>
      </c>
      <c r="Q50" s="23">
        <f>Test!G120</f>
        <v>4.2309999999999999</v>
      </c>
      <c r="R50" s="24">
        <f t="shared" si="11"/>
        <v>1.101038611111111</v>
      </c>
      <c r="S50" s="22">
        <f t="shared" si="9"/>
        <v>0.98627951070945141</v>
      </c>
      <c r="T50" s="23">
        <f t="shared" si="9"/>
        <v>0.99811276244397262</v>
      </c>
      <c r="U50" s="92"/>
      <c r="V50" s="78"/>
      <c r="W50" s="79"/>
      <c r="X50" s="80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Reference!B121</f>
        <v>0</v>
      </c>
      <c r="E51" s="13">
        <f>Reference!C121</f>
        <v>0</v>
      </c>
      <c r="F51" s="13">
        <f>Reference!D121</f>
        <v>0</v>
      </c>
      <c r="G51" s="13">
        <f>Reference!E121</f>
        <v>0</v>
      </c>
      <c r="H51" s="13">
        <f>Reference!F121</f>
        <v>0</v>
      </c>
      <c r="I51" s="13">
        <f>Reference!G121</f>
        <v>0</v>
      </c>
      <c r="J51" s="14">
        <f t="shared" si="10"/>
        <v>0</v>
      </c>
      <c r="L51" s="12">
        <f>Test!B121</f>
        <v>0</v>
      </c>
      <c r="M51" s="13">
        <f>Test!C121</f>
        <v>0</v>
      </c>
      <c r="N51" s="13">
        <f>Test!D121</f>
        <v>0</v>
      </c>
      <c r="O51" s="13">
        <f>Test!E121</f>
        <v>0</v>
      </c>
      <c r="P51" s="13">
        <f>Test!F121</f>
        <v>0</v>
      </c>
      <c r="Q51" s="13">
        <f>Test!G121</f>
        <v>0</v>
      </c>
      <c r="R51" s="14">
        <f t="shared" si="11"/>
        <v>0</v>
      </c>
      <c r="S51" s="12" t="e">
        <f t="shared" si="9"/>
        <v>#DIV/0!</v>
      </c>
      <c r="T51" s="13" t="e">
        <f t="shared" si="9"/>
        <v>#DIV/0!</v>
      </c>
      <c r="U51" s="90"/>
      <c r="V51" s="72" t="e">
        <f>bdrate($D51:$D54,E51:E54,$L51:$L54,M51:M54)</f>
        <v>#VALUE!</v>
      </c>
      <c r="W51" s="73" t="e">
        <f>bdrate($D51:$D54,F51:F54,$L51:$L54,N51:N54)</f>
        <v>#VALUE!</v>
      </c>
      <c r="X51" s="73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Reference!B122</f>
        <v>0</v>
      </c>
      <c r="E52" s="18">
        <f>Reference!C122</f>
        <v>0</v>
      </c>
      <c r="F52" s="18">
        <f>Reference!D122</f>
        <v>0</v>
      </c>
      <c r="G52" s="18">
        <f>Reference!E122</f>
        <v>0</v>
      </c>
      <c r="H52" s="18">
        <f>Reference!F122</f>
        <v>0</v>
      </c>
      <c r="I52" s="18">
        <f>Reference!G122</f>
        <v>0</v>
      </c>
      <c r="J52" s="19">
        <f t="shared" si="10"/>
        <v>0</v>
      </c>
      <c r="L52" s="17">
        <f>Test!B122</f>
        <v>0</v>
      </c>
      <c r="M52" s="18">
        <f>Test!C122</f>
        <v>0</v>
      </c>
      <c r="N52" s="18">
        <f>Test!D122</f>
        <v>0</v>
      </c>
      <c r="O52" s="18">
        <f>Test!E122</f>
        <v>0</v>
      </c>
      <c r="P52" s="18">
        <f>Test!F122</f>
        <v>0</v>
      </c>
      <c r="Q52" s="18">
        <f>Test!G122</f>
        <v>0</v>
      </c>
      <c r="R52" s="19">
        <f t="shared" si="11"/>
        <v>0</v>
      </c>
      <c r="S52" s="17" t="e">
        <f t="shared" si="9"/>
        <v>#DIV/0!</v>
      </c>
      <c r="T52" s="18" t="e">
        <f t="shared" si="9"/>
        <v>#DIV/0!</v>
      </c>
      <c r="U52" s="91"/>
      <c r="V52" s="75"/>
      <c r="W52" s="76"/>
      <c r="X52" s="76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Reference!B123</f>
        <v>0</v>
      </c>
      <c r="E53" s="18">
        <f>Reference!C123</f>
        <v>0</v>
      </c>
      <c r="F53" s="18">
        <f>Reference!D123</f>
        <v>0</v>
      </c>
      <c r="G53" s="18">
        <f>Reference!E123</f>
        <v>0</v>
      </c>
      <c r="H53" s="18">
        <f>Reference!F123</f>
        <v>0</v>
      </c>
      <c r="I53" s="18">
        <f>Reference!G123</f>
        <v>0</v>
      </c>
      <c r="J53" s="19">
        <f t="shared" si="10"/>
        <v>0</v>
      </c>
      <c r="L53" s="17">
        <f>Test!B123</f>
        <v>0</v>
      </c>
      <c r="M53" s="18">
        <f>Test!C123</f>
        <v>0</v>
      </c>
      <c r="N53" s="18">
        <f>Test!D123</f>
        <v>0</v>
      </c>
      <c r="O53" s="18">
        <f>Test!E123</f>
        <v>0</v>
      </c>
      <c r="P53" s="18">
        <f>Test!F123</f>
        <v>0</v>
      </c>
      <c r="Q53" s="18">
        <f>Test!G123</f>
        <v>0</v>
      </c>
      <c r="R53" s="19">
        <f t="shared" si="11"/>
        <v>0</v>
      </c>
      <c r="S53" s="17" t="e">
        <f t="shared" si="9"/>
        <v>#DIV/0!</v>
      </c>
      <c r="T53" s="18" t="e">
        <f t="shared" si="9"/>
        <v>#DIV/0!</v>
      </c>
      <c r="U53" s="91"/>
      <c r="V53" s="75"/>
      <c r="W53" s="76"/>
      <c r="X53" s="76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Reference!B124</f>
        <v>0</v>
      </c>
      <c r="E54" s="23">
        <f>Reference!C124</f>
        <v>0</v>
      </c>
      <c r="F54" s="23">
        <f>Reference!D124</f>
        <v>0</v>
      </c>
      <c r="G54" s="23">
        <f>Reference!E124</f>
        <v>0</v>
      </c>
      <c r="H54" s="23">
        <f>Reference!F124</f>
        <v>0</v>
      </c>
      <c r="I54" s="23">
        <f>Reference!G124</f>
        <v>0</v>
      </c>
      <c r="J54" s="24">
        <f t="shared" si="10"/>
        <v>0</v>
      </c>
      <c r="L54" s="22">
        <f>Test!B124</f>
        <v>0</v>
      </c>
      <c r="M54" s="23">
        <f>Test!C124</f>
        <v>0</v>
      </c>
      <c r="N54" s="23">
        <f>Test!D124</f>
        <v>0</v>
      </c>
      <c r="O54" s="23">
        <f>Test!E124</f>
        <v>0</v>
      </c>
      <c r="P54" s="23">
        <f>Test!F124</f>
        <v>0</v>
      </c>
      <c r="Q54" s="23">
        <f>Test!G124</f>
        <v>0</v>
      </c>
      <c r="R54" s="24">
        <f t="shared" si="11"/>
        <v>0</v>
      </c>
      <c r="S54" s="17" t="e">
        <f t="shared" si="9"/>
        <v>#DIV/0!</v>
      </c>
      <c r="T54" s="18" t="e">
        <f t="shared" si="9"/>
        <v>#DIV/0!</v>
      </c>
      <c r="U54" s="91"/>
      <c r="V54" s="78"/>
      <c r="W54" s="79"/>
      <c r="X54" s="79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Reference!B125</f>
        <v>0</v>
      </c>
      <c r="E55" s="13">
        <f>Reference!C125</f>
        <v>0</v>
      </c>
      <c r="F55" s="13">
        <f>Reference!D125</f>
        <v>0</v>
      </c>
      <c r="G55" s="13">
        <f>Reference!E125</f>
        <v>0</v>
      </c>
      <c r="H55" s="13">
        <f>Reference!F125</f>
        <v>0</v>
      </c>
      <c r="I55" s="13">
        <f>Reference!G125</f>
        <v>0</v>
      </c>
      <c r="J55" s="14">
        <f t="shared" si="10"/>
        <v>0</v>
      </c>
      <c r="L55" s="12">
        <f>Test!B125</f>
        <v>0</v>
      </c>
      <c r="M55" s="13">
        <f>Test!C125</f>
        <v>0</v>
      </c>
      <c r="N55" s="13">
        <f>Test!D125</f>
        <v>0</v>
      </c>
      <c r="O55" s="13">
        <f>Test!E125</f>
        <v>0</v>
      </c>
      <c r="P55" s="13">
        <f>Test!F125</f>
        <v>0</v>
      </c>
      <c r="Q55" s="13">
        <f>Test!G125</f>
        <v>0</v>
      </c>
      <c r="R55" s="14">
        <f t="shared" si="11"/>
        <v>0</v>
      </c>
      <c r="S55" s="17" t="e">
        <f t="shared" si="9"/>
        <v>#DIV/0!</v>
      </c>
      <c r="T55" s="18" t="e">
        <f t="shared" si="9"/>
        <v>#DIV/0!</v>
      </c>
      <c r="U55" s="91"/>
      <c r="V55" s="72" t="e">
        <f>bdrate($D55:$D58,E55:E58,$L55:$L58,M55:M58)</f>
        <v>#VALUE!</v>
      </c>
      <c r="W55" s="73" t="e">
        <f>bdrate($D55:$D58,F55:F58,$L55:$L58,N55:N58)</f>
        <v>#VALUE!</v>
      </c>
      <c r="X55" s="73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Reference!B126</f>
        <v>0</v>
      </c>
      <c r="E56" s="18">
        <f>Reference!C126</f>
        <v>0</v>
      </c>
      <c r="F56" s="18">
        <f>Reference!D126</f>
        <v>0</v>
      </c>
      <c r="G56" s="18">
        <f>Reference!E126</f>
        <v>0</v>
      </c>
      <c r="H56" s="18">
        <f>Reference!F126</f>
        <v>0</v>
      </c>
      <c r="I56" s="18">
        <f>Reference!G126</f>
        <v>0</v>
      </c>
      <c r="J56" s="19">
        <f t="shared" si="10"/>
        <v>0</v>
      </c>
      <c r="L56" s="17">
        <f>Test!B126</f>
        <v>0</v>
      </c>
      <c r="M56" s="18">
        <f>Test!C126</f>
        <v>0</v>
      </c>
      <c r="N56" s="18">
        <f>Test!D126</f>
        <v>0</v>
      </c>
      <c r="O56" s="18">
        <f>Test!E126</f>
        <v>0</v>
      </c>
      <c r="P56" s="18">
        <f>Test!F126</f>
        <v>0</v>
      </c>
      <c r="Q56" s="18">
        <f>Test!G126</f>
        <v>0</v>
      </c>
      <c r="R56" s="19">
        <f t="shared" si="11"/>
        <v>0</v>
      </c>
      <c r="S56" s="17" t="e">
        <f t="shared" si="9"/>
        <v>#DIV/0!</v>
      </c>
      <c r="T56" s="18" t="e">
        <f t="shared" si="9"/>
        <v>#DIV/0!</v>
      </c>
      <c r="U56" s="91"/>
      <c r="V56" s="75"/>
      <c r="W56" s="76"/>
      <c r="X56" s="76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Reference!B127</f>
        <v>0</v>
      </c>
      <c r="E57" s="18">
        <f>Reference!C127</f>
        <v>0</v>
      </c>
      <c r="F57" s="18">
        <f>Reference!D127</f>
        <v>0</v>
      </c>
      <c r="G57" s="18">
        <f>Reference!E127</f>
        <v>0</v>
      </c>
      <c r="H57" s="18">
        <f>Reference!F127</f>
        <v>0</v>
      </c>
      <c r="I57" s="18">
        <f>Reference!G127</f>
        <v>0</v>
      </c>
      <c r="J57" s="19">
        <f t="shared" si="10"/>
        <v>0</v>
      </c>
      <c r="L57" s="17">
        <f>Test!B127</f>
        <v>0</v>
      </c>
      <c r="M57" s="18">
        <f>Test!C127</f>
        <v>0</v>
      </c>
      <c r="N57" s="18">
        <f>Test!D127</f>
        <v>0</v>
      </c>
      <c r="O57" s="18">
        <f>Test!E127</f>
        <v>0</v>
      </c>
      <c r="P57" s="18">
        <f>Test!F127</f>
        <v>0</v>
      </c>
      <c r="Q57" s="18">
        <f>Test!G127</f>
        <v>0</v>
      </c>
      <c r="R57" s="19">
        <f t="shared" si="11"/>
        <v>0</v>
      </c>
      <c r="S57" s="17" t="e">
        <f t="shared" si="9"/>
        <v>#DIV/0!</v>
      </c>
      <c r="T57" s="18" t="e">
        <f t="shared" si="9"/>
        <v>#DIV/0!</v>
      </c>
      <c r="U57" s="91"/>
      <c r="V57" s="75"/>
      <c r="W57" s="76"/>
      <c r="X57" s="76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Reference!B128</f>
        <v>0</v>
      </c>
      <c r="E58" s="23">
        <f>Reference!C128</f>
        <v>0</v>
      </c>
      <c r="F58" s="23">
        <f>Reference!D128</f>
        <v>0</v>
      </c>
      <c r="G58" s="23">
        <f>Reference!E128</f>
        <v>0</v>
      </c>
      <c r="H58" s="23">
        <f>Reference!F128</f>
        <v>0</v>
      </c>
      <c r="I58" s="23">
        <f>Reference!G128</f>
        <v>0</v>
      </c>
      <c r="J58" s="24">
        <f t="shared" si="10"/>
        <v>0</v>
      </c>
      <c r="L58" s="22">
        <f>Test!B128</f>
        <v>0</v>
      </c>
      <c r="M58" s="23">
        <f>Test!C128</f>
        <v>0</v>
      </c>
      <c r="N58" s="23">
        <f>Test!D128</f>
        <v>0</v>
      </c>
      <c r="O58" s="23">
        <f>Test!E128</f>
        <v>0</v>
      </c>
      <c r="P58" s="23">
        <f>Test!F128</f>
        <v>0</v>
      </c>
      <c r="Q58" s="23">
        <f>Test!G128</f>
        <v>0</v>
      </c>
      <c r="R58" s="24">
        <f t="shared" si="11"/>
        <v>0</v>
      </c>
      <c r="S58" s="22" t="e">
        <f t="shared" si="9"/>
        <v>#DIV/0!</v>
      </c>
      <c r="T58" s="23" t="e">
        <f t="shared" si="9"/>
        <v>#DIV/0!</v>
      </c>
      <c r="U58" s="92"/>
      <c r="V58" s="78"/>
      <c r="W58" s="79"/>
      <c r="X58" s="79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Reference!B129</f>
        <v>0</v>
      </c>
      <c r="E59" s="13">
        <f>Reference!C129</f>
        <v>0</v>
      </c>
      <c r="F59" s="13">
        <f>Reference!D129</f>
        <v>0</v>
      </c>
      <c r="G59" s="13">
        <f>Reference!E129</f>
        <v>0</v>
      </c>
      <c r="H59" s="13">
        <f>Reference!F129</f>
        <v>0</v>
      </c>
      <c r="I59" s="13">
        <f>Reference!G129</f>
        <v>0</v>
      </c>
      <c r="J59" s="14">
        <f t="shared" si="10"/>
        <v>0</v>
      </c>
      <c r="L59" s="12">
        <f>Test!B129</f>
        <v>0</v>
      </c>
      <c r="M59" s="13">
        <f>Test!C129</f>
        <v>0</v>
      </c>
      <c r="N59" s="13">
        <f>Test!D129</f>
        <v>0</v>
      </c>
      <c r="O59" s="13">
        <f>Test!E129</f>
        <v>0</v>
      </c>
      <c r="P59" s="13">
        <f>Test!F129</f>
        <v>0</v>
      </c>
      <c r="Q59" s="13">
        <f>Test!G129</f>
        <v>0</v>
      </c>
      <c r="R59" s="14">
        <f t="shared" si="11"/>
        <v>0</v>
      </c>
      <c r="S59" s="12" t="e">
        <f t="shared" si="9"/>
        <v>#DIV/0!</v>
      </c>
      <c r="T59" s="13" t="e">
        <f t="shared" si="9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Reference!B130</f>
        <v>0</v>
      </c>
      <c r="E60" s="18">
        <f>Reference!C130</f>
        <v>0</v>
      </c>
      <c r="F60" s="18">
        <f>Reference!D130</f>
        <v>0</v>
      </c>
      <c r="G60" s="18">
        <f>Reference!E130</f>
        <v>0</v>
      </c>
      <c r="H60" s="18">
        <f>Reference!F130</f>
        <v>0</v>
      </c>
      <c r="I60" s="18">
        <f>Reference!G130</f>
        <v>0</v>
      </c>
      <c r="J60" s="19">
        <f t="shared" si="10"/>
        <v>0</v>
      </c>
      <c r="L60" s="17">
        <f>Test!B130</f>
        <v>0</v>
      </c>
      <c r="M60" s="18">
        <f>Test!C130</f>
        <v>0</v>
      </c>
      <c r="N60" s="18">
        <f>Test!D130</f>
        <v>0</v>
      </c>
      <c r="O60" s="18">
        <f>Test!E130</f>
        <v>0</v>
      </c>
      <c r="P60" s="18">
        <f>Test!F130</f>
        <v>0</v>
      </c>
      <c r="Q60" s="18">
        <f>Test!G130</f>
        <v>0</v>
      </c>
      <c r="R60" s="19">
        <f t="shared" si="11"/>
        <v>0</v>
      </c>
      <c r="S60" s="17" t="e">
        <f t="shared" si="9"/>
        <v>#DIV/0!</v>
      </c>
      <c r="T60" s="18" t="e">
        <f t="shared" si="9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Reference!B131</f>
        <v>0</v>
      </c>
      <c r="E61" s="18">
        <f>Reference!C131</f>
        <v>0</v>
      </c>
      <c r="F61" s="18">
        <f>Reference!D131</f>
        <v>0</v>
      </c>
      <c r="G61" s="18">
        <f>Reference!E131</f>
        <v>0</v>
      </c>
      <c r="H61" s="18">
        <f>Reference!F131</f>
        <v>0</v>
      </c>
      <c r="I61" s="18">
        <f>Reference!G131</f>
        <v>0</v>
      </c>
      <c r="J61" s="19">
        <f t="shared" si="10"/>
        <v>0</v>
      </c>
      <c r="L61" s="17">
        <f>Test!B131</f>
        <v>0</v>
      </c>
      <c r="M61" s="18">
        <f>Test!C131</f>
        <v>0</v>
      </c>
      <c r="N61" s="18">
        <f>Test!D131</f>
        <v>0</v>
      </c>
      <c r="O61" s="18">
        <f>Test!E131</f>
        <v>0</v>
      </c>
      <c r="P61" s="18">
        <f>Test!F131</f>
        <v>0</v>
      </c>
      <c r="Q61" s="18">
        <f>Test!G131</f>
        <v>0</v>
      </c>
      <c r="R61" s="19">
        <f t="shared" si="11"/>
        <v>0</v>
      </c>
      <c r="S61" s="17" t="e">
        <f t="shared" si="9"/>
        <v>#DIV/0!</v>
      </c>
      <c r="T61" s="18" t="e">
        <f t="shared" si="9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Reference!B132</f>
        <v>0</v>
      </c>
      <c r="E62" s="23">
        <f>Reference!C132</f>
        <v>0</v>
      </c>
      <c r="F62" s="23">
        <f>Reference!D132</f>
        <v>0</v>
      </c>
      <c r="G62" s="23">
        <f>Reference!E132</f>
        <v>0</v>
      </c>
      <c r="H62" s="23">
        <f>Reference!F132</f>
        <v>0</v>
      </c>
      <c r="I62" s="23">
        <f>Reference!G132</f>
        <v>0</v>
      </c>
      <c r="J62" s="24">
        <f t="shared" si="10"/>
        <v>0</v>
      </c>
      <c r="L62" s="22">
        <f>Test!B132</f>
        <v>0</v>
      </c>
      <c r="M62" s="23">
        <f>Test!C132</f>
        <v>0</v>
      </c>
      <c r="N62" s="23">
        <f>Test!D132</f>
        <v>0</v>
      </c>
      <c r="O62" s="23">
        <f>Test!E132</f>
        <v>0</v>
      </c>
      <c r="P62" s="23">
        <f>Test!F132</f>
        <v>0</v>
      </c>
      <c r="Q62" s="23">
        <f>Test!G132</f>
        <v>0</v>
      </c>
      <c r="R62" s="24">
        <f t="shared" si="11"/>
        <v>0</v>
      </c>
      <c r="S62" s="17" t="e">
        <f t="shared" si="9"/>
        <v>#DIV/0!</v>
      </c>
      <c r="T62" s="18" t="e">
        <f t="shared" si="9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Reference!B133</f>
        <v>0</v>
      </c>
      <c r="E63" s="13">
        <f>Reference!C133</f>
        <v>0</v>
      </c>
      <c r="F63" s="13">
        <f>Reference!D133</f>
        <v>0</v>
      </c>
      <c r="G63" s="13">
        <f>Reference!E133</f>
        <v>0</v>
      </c>
      <c r="H63" s="13">
        <f>Reference!F133</f>
        <v>0</v>
      </c>
      <c r="I63" s="13">
        <f>Reference!G133</f>
        <v>0</v>
      </c>
      <c r="J63" s="14">
        <f t="shared" si="10"/>
        <v>0</v>
      </c>
      <c r="L63" s="12">
        <f>Test!B133</f>
        <v>0</v>
      </c>
      <c r="M63" s="13">
        <f>Test!C133</f>
        <v>0</v>
      </c>
      <c r="N63" s="13">
        <f>Test!D133</f>
        <v>0</v>
      </c>
      <c r="O63" s="13">
        <f>Test!E133</f>
        <v>0</v>
      </c>
      <c r="P63" s="13">
        <f>Test!F133</f>
        <v>0</v>
      </c>
      <c r="Q63" s="13">
        <f>Test!G133</f>
        <v>0</v>
      </c>
      <c r="R63" s="14">
        <f t="shared" si="11"/>
        <v>0</v>
      </c>
      <c r="S63" s="17" t="e">
        <f t="shared" ref="S63:S74" si="12">P63/H63</f>
        <v>#DIV/0!</v>
      </c>
      <c r="T63" s="18" t="e">
        <f t="shared" ref="T63:T74" si="13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Reference!B134</f>
        <v>0</v>
      </c>
      <c r="E64" s="18">
        <f>Reference!C134</f>
        <v>0</v>
      </c>
      <c r="F64" s="18">
        <f>Reference!D134</f>
        <v>0</v>
      </c>
      <c r="G64" s="18">
        <f>Reference!E134</f>
        <v>0</v>
      </c>
      <c r="H64" s="18">
        <f>Reference!F134</f>
        <v>0</v>
      </c>
      <c r="I64" s="18">
        <f>Reference!G134</f>
        <v>0</v>
      </c>
      <c r="J64" s="19">
        <f t="shared" si="10"/>
        <v>0</v>
      </c>
      <c r="L64" s="17">
        <f>Test!B134</f>
        <v>0</v>
      </c>
      <c r="M64" s="18">
        <f>Test!C134</f>
        <v>0</v>
      </c>
      <c r="N64" s="18">
        <f>Test!D134</f>
        <v>0</v>
      </c>
      <c r="O64" s="18">
        <f>Test!E134</f>
        <v>0</v>
      </c>
      <c r="P64" s="18">
        <f>Test!F134</f>
        <v>0</v>
      </c>
      <c r="Q64" s="18">
        <f>Test!G134</f>
        <v>0</v>
      </c>
      <c r="R64" s="19">
        <f t="shared" si="11"/>
        <v>0</v>
      </c>
      <c r="S64" s="17" t="e">
        <f t="shared" si="12"/>
        <v>#DIV/0!</v>
      </c>
      <c r="T64" s="18" t="e">
        <f t="shared" si="13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Reference!B135</f>
        <v>0</v>
      </c>
      <c r="E65" s="18">
        <f>Reference!C135</f>
        <v>0</v>
      </c>
      <c r="F65" s="18">
        <f>Reference!D135</f>
        <v>0</v>
      </c>
      <c r="G65" s="18">
        <f>Reference!E135</f>
        <v>0</v>
      </c>
      <c r="H65" s="18">
        <f>Reference!F135</f>
        <v>0</v>
      </c>
      <c r="I65" s="18">
        <f>Reference!G135</f>
        <v>0</v>
      </c>
      <c r="J65" s="19">
        <f t="shared" si="10"/>
        <v>0</v>
      </c>
      <c r="L65" s="17">
        <f>Test!B135</f>
        <v>0</v>
      </c>
      <c r="M65" s="18">
        <f>Test!C135</f>
        <v>0</v>
      </c>
      <c r="N65" s="18">
        <f>Test!D135</f>
        <v>0</v>
      </c>
      <c r="O65" s="18">
        <f>Test!E135</f>
        <v>0</v>
      </c>
      <c r="P65" s="18">
        <f>Test!F135</f>
        <v>0</v>
      </c>
      <c r="Q65" s="18">
        <f>Test!G135</f>
        <v>0</v>
      </c>
      <c r="R65" s="19">
        <f t="shared" si="11"/>
        <v>0</v>
      </c>
      <c r="S65" s="17" t="e">
        <f t="shared" si="12"/>
        <v>#DIV/0!</v>
      </c>
      <c r="T65" s="18" t="e">
        <f t="shared" si="13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Reference!B136</f>
        <v>0</v>
      </c>
      <c r="E66" s="23">
        <f>Reference!C136</f>
        <v>0</v>
      </c>
      <c r="F66" s="23">
        <f>Reference!D136</f>
        <v>0</v>
      </c>
      <c r="G66" s="23">
        <f>Reference!E136</f>
        <v>0</v>
      </c>
      <c r="H66" s="23">
        <f>Reference!F136</f>
        <v>0</v>
      </c>
      <c r="I66" s="23">
        <f>Reference!G136</f>
        <v>0</v>
      </c>
      <c r="J66" s="24">
        <f t="shared" si="10"/>
        <v>0</v>
      </c>
      <c r="L66" s="22">
        <f>Test!B136</f>
        <v>0</v>
      </c>
      <c r="M66" s="23">
        <f>Test!C136</f>
        <v>0</v>
      </c>
      <c r="N66" s="23">
        <f>Test!D136</f>
        <v>0</v>
      </c>
      <c r="O66" s="23">
        <f>Test!E136</f>
        <v>0</v>
      </c>
      <c r="P66" s="23">
        <f>Test!F136</f>
        <v>0</v>
      </c>
      <c r="Q66" s="23">
        <f>Test!G136</f>
        <v>0</v>
      </c>
      <c r="R66" s="24">
        <f t="shared" si="11"/>
        <v>0</v>
      </c>
      <c r="S66" s="17" t="e">
        <f t="shared" si="12"/>
        <v>#DIV/0!</v>
      </c>
      <c r="T66" s="18" t="e">
        <f t="shared" si="13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Reference!B137</f>
        <v>0</v>
      </c>
      <c r="E67" s="13">
        <f>Reference!C137</f>
        <v>0</v>
      </c>
      <c r="F67" s="13">
        <f>Reference!D137</f>
        <v>0</v>
      </c>
      <c r="G67" s="13">
        <f>Reference!E137</f>
        <v>0</v>
      </c>
      <c r="H67" s="13">
        <f>Reference!F137</f>
        <v>0</v>
      </c>
      <c r="I67" s="13">
        <f>Reference!G137</f>
        <v>0</v>
      </c>
      <c r="J67" s="14">
        <f t="shared" si="10"/>
        <v>0</v>
      </c>
      <c r="L67" s="12">
        <f>Test!B137</f>
        <v>0</v>
      </c>
      <c r="M67" s="13">
        <f>Test!C137</f>
        <v>0</v>
      </c>
      <c r="N67" s="13">
        <f>Test!D137</f>
        <v>0</v>
      </c>
      <c r="O67" s="13">
        <f>Test!E137</f>
        <v>0</v>
      </c>
      <c r="P67" s="13">
        <f>Test!F137</f>
        <v>0</v>
      </c>
      <c r="Q67" s="13">
        <f>Test!G137</f>
        <v>0</v>
      </c>
      <c r="R67" s="14">
        <f t="shared" si="11"/>
        <v>0</v>
      </c>
      <c r="S67" s="17" t="e">
        <f t="shared" si="12"/>
        <v>#DIV/0!</v>
      </c>
      <c r="T67" s="18" t="e">
        <f t="shared" si="13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Reference!B138</f>
        <v>0</v>
      </c>
      <c r="E68" s="18">
        <f>Reference!C138</f>
        <v>0</v>
      </c>
      <c r="F68" s="18">
        <f>Reference!D138</f>
        <v>0</v>
      </c>
      <c r="G68" s="18">
        <f>Reference!E138</f>
        <v>0</v>
      </c>
      <c r="H68" s="18">
        <f>Reference!F138</f>
        <v>0</v>
      </c>
      <c r="I68" s="18">
        <f>Reference!G138</f>
        <v>0</v>
      </c>
      <c r="J68" s="19">
        <f t="shared" si="10"/>
        <v>0</v>
      </c>
      <c r="L68" s="17">
        <f>Test!B138</f>
        <v>0</v>
      </c>
      <c r="M68" s="18">
        <f>Test!C138</f>
        <v>0</v>
      </c>
      <c r="N68" s="18">
        <f>Test!D138</f>
        <v>0</v>
      </c>
      <c r="O68" s="18">
        <f>Test!E138</f>
        <v>0</v>
      </c>
      <c r="P68" s="18">
        <f>Test!F138</f>
        <v>0</v>
      </c>
      <c r="Q68" s="18">
        <f>Test!G138</f>
        <v>0</v>
      </c>
      <c r="R68" s="19">
        <f t="shared" si="11"/>
        <v>0</v>
      </c>
      <c r="S68" s="17" t="e">
        <f t="shared" si="12"/>
        <v>#DIV/0!</v>
      </c>
      <c r="T68" s="18" t="e">
        <f t="shared" si="13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Reference!B139</f>
        <v>0</v>
      </c>
      <c r="E69" s="18">
        <f>Reference!C139</f>
        <v>0</v>
      </c>
      <c r="F69" s="18">
        <f>Reference!D139</f>
        <v>0</v>
      </c>
      <c r="G69" s="18">
        <f>Reference!E139</f>
        <v>0</v>
      </c>
      <c r="H69" s="18">
        <f>Reference!F139</f>
        <v>0</v>
      </c>
      <c r="I69" s="18">
        <f>Reference!G139</f>
        <v>0</v>
      </c>
      <c r="J69" s="19">
        <f t="shared" si="10"/>
        <v>0</v>
      </c>
      <c r="L69" s="17">
        <f>Test!B139</f>
        <v>0</v>
      </c>
      <c r="M69" s="18">
        <f>Test!C139</f>
        <v>0</v>
      </c>
      <c r="N69" s="18">
        <f>Test!D139</f>
        <v>0</v>
      </c>
      <c r="O69" s="18">
        <f>Test!E139</f>
        <v>0</v>
      </c>
      <c r="P69" s="18">
        <f>Test!F139</f>
        <v>0</v>
      </c>
      <c r="Q69" s="18">
        <f>Test!G139</f>
        <v>0</v>
      </c>
      <c r="R69" s="19">
        <f t="shared" si="11"/>
        <v>0</v>
      </c>
      <c r="S69" s="17" t="e">
        <f t="shared" si="12"/>
        <v>#DIV/0!</v>
      </c>
      <c r="T69" s="18" t="e">
        <f t="shared" si="13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Reference!B140</f>
        <v>0</v>
      </c>
      <c r="E70" s="23">
        <f>Reference!C140</f>
        <v>0</v>
      </c>
      <c r="F70" s="23">
        <f>Reference!D140</f>
        <v>0</v>
      </c>
      <c r="G70" s="23">
        <f>Reference!E140</f>
        <v>0</v>
      </c>
      <c r="H70" s="23">
        <f>Reference!F140</f>
        <v>0</v>
      </c>
      <c r="I70" s="23">
        <f>Reference!G140</f>
        <v>0</v>
      </c>
      <c r="J70" s="24">
        <f t="shared" si="10"/>
        <v>0</v>
      </c>
      <c r="L70" s="22">
        <f>Test!B140</f>
        <v>0</v>
      </c>
      <c r="M70" s="23">
        <f>Test!C140</f>
        <v>0</v>
      </c>
      <c r="N70" s="23">
        <f>Test!D140</f>
        <v>0</v>
      </c>
      <c r="O70" s="23">
        <f>Test!E140</f>
        <v>0</v>
      </c>
      <c r="P70" s="23">
        <f>Test!F140</f>
        <v>0</v>
      </c>
      <c r="Q70" s="23">
        <f>Test!G140</f>
        <v>0</v>
      </c>
      <c r="R70" s="24">
        <f t="shared" si="11"/>
        <v>0</v>
      </c>
      <c r="S70" s="17" t="e">
        <f t="shared" si="12"/>
        <v>#DIV/0!</v>
      </c>
      <c r="T70" s="18" t="e">
        <f t="shared" si="13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Reference!B141</f>
        <v>0</v>
      </c>
      <c r="E71" s="13">
        <f>Reference!C141</f>
        <v>0</v>
      </c>
      <c r="F71" s="13">
        <f>Reference!D141</f>
        <v>0</v>
      </c>
      <c r="G71" s="13">
        <f>Reference!E141</f>
        <v>0</v>
      </c>
      <c r="H71" s="13">
        <f>Reference!F141</f>
        <v>0</v>
      </c>
      <c r="I71" s="13">
        <f>Reference!G141</f>
        <v>0</v>
      </c>
      <c r="J71" s="14">
        <f>H71/3600</f>
        <v>0</v>
      </c>
      <c r="L71" s="12">
        <f>Test!B141</f>
        <v>0</v>
      </c>
      <c r="M71" s="13">
        <f>Test!C141</f>
        <v>0</v>
      </c>
      <c r="N71" s="13">
        <f>Test!D141</f>
        <v>0</v>
      </c>
      <c r="O71" s="13">
        <f>Test!E141</f>
        <v>0</v>
      </c>
      <c r="P71" s="13">
        <f>Test!F141</f>
        <v>0</v>
      </c>
      <c r="Q71" s="13">
        <f>Test!G141</f>
        <v>0</v>
      </c>
      <c r="R71" s="14">
        <f>P71/3600</f>
        <v>0</v>
      </c>
      <c r="S71" s="17" t="e">
        <f t="shared" si="12"/>
        <v>#DIV/0!</v>
      </c>
      <c r="T71" s="18" t="e">
        <f t="shared" si="13"/>
        <v>#DIV/0!</v>
      </c>
      <c r="U71" s="91"/>
      <c r="V71" s="72" t="e">
        <f>bdrate($D71:$D74,E71:E74,$L71:$L74,M71:M74)</f>
        <v>#VALUE!</v>
      </c>
      <c r="W71" s="73" t="e">
        <f>bdrate($D71:$D74,F71:F74,$L71:$L74,N71:N74)</f>
        <v>#VALUE!</v>
      </c>
      <c r="X71" s="74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Reference!B142</f>
        <v>0</v>
      </c>
      <c r="E72" s="18">
        <f>Reference!C142</f>
        <v>0</v>
      </c>
      <c r="F72" s="18">
        <f>Reference!D142</f>
        <v>0</v>
      </c>
      <c r="G72" s="18">
        <f>Reference!E142</f>
        <v>0</v>
      </c>
      <c r="H72" s="18">
        <f>Reference!F142</f>
        <v>0</v>
      </c>
      <c r="I72" s="18">
        <f>Reference!G142</f>
        <v>0</v>
      </c>
      <c r="J72" s="19">
        <f t="shared" ref="J72:J74" si="14">H72/3600</f>
        <v>0</v>
      </c>
      <c r="L72" s="17">
        <f>Test!B142</f>
        <v>0</v>
      </c>
      <c r="M72" s="18">
        <f>Test!C142</f>
        <v>0</v>
      </c>
      <c r="N72" s="18">
        <f>Test!D142</f>
        <v>0</v>
      </c>
      <c r="O72" s="18">
        <f>Test!E142</f>
        <v>0</v>
      </c>
      <c r="P72" s="18">
        <f>Test!F142</f>
        <v>0</v>
      </c>
      <c r="Q72" s="18">
        <f>Test!G142</f>
        <v>0</v>
      </c>
      <c r="R72" s="19">
        <f t="shared" ref="R72:R74" si="15">P72/3600</f>
        <v>0</v>
      </c>
      <c r="S72" s="17" t="e">
        <f t="shared" si="12"/>
        <v>#DIV/0!</v>
      </c>
      <c r="T72" s="18" t="e">
        <f t="shared" si="13"/>
        <v>#DIV/0!</v>
      </c>
      <c r="U72" s="91"/>
      <c r="V72" s="75"/>
      <c r="W72" s="76"/>
      <c r="X72" s="77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Reference!B143</f>
        <v>0</v>
      </c>
      <c r="E73" s="18">
        <f>Reference!C143</f>
        <v>0</v>
      </c>
      <c r="F73" s="18">
        <f>Reference!D143</f>
        <v>0</v>
      </c>
      <c r="G73" s="18">
        <f>Reference!E143</f>
        <v>0</v>
      </c>
      <c r="H73" s="18">
        <f>Reference!F143</f>
        <v>0</v>
      </c>
      <c r="I73" s="18">
        <f>Reference!G143</f>
        <v>0</v>
      </c>
      <c r="J73" s="19">
        <f t="shared" si="14"/>
        <v>0</v>
      </c>
      <c r="L73" s="17">
        <f>Test!B143</f>
        <v>0</v>
      </c>
      <c r="M73" s="18">
        <f>Test!C143</f>
        <v>0</v>
      </c>
      <c r="N73" s="18">
        <f>Test!D143</f>
        <v>0</v>
      </c>
      <c r="O73" s="18">
        <f>Test!E143</f>
        <v>0</v>
      </c>
      <c r="P73" s="18">
        <f>Test!F143</f>
        <v>0</v>
      </c>
      <c r="Q73" s="18">
        <f>Test!G143</f>
        <v>0</v>
      </c>
      <c r="R73" s="19">
        <f t="shared" si="15"/>
        <v>0</v>
      </c>
      <c r="S73" s="17" t="e">
        <f t="shared" si="12"/>
        <v>#DIV/0!</v>
      </c>
      <c r="T73" s="18" t="e">
        <f t="shared" si="13"/>
        <v>#DIV/0!</v>
      </c>
      <c r="U73" s="91"/>
      <c r="V73" s="75"/>
      <c r="W73" s="76"/>
      <c r="X73" s="77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Reference!B144</f>
        <v>0</v>
      </c>
      <c r="E74" s="23">
        <f>Reference!C144</f>
        <v>0</v>
      </c>
      <c r="F74" s="23">
        <f>Reference!D144</f>
        <v>0</v>
      </c>
      <c r="G74" s="23">
        <f>Reference!E144</f>
        <v>0</v>
      </c>
      <c r="H74" s="23">
        <f>Reference!F144</f>
        <v>0</v>
      </c>
      <c r="I74" s="23">
        <f>Reference!G144</f>
        <v>0</v>
      </c>
      <c r="J74" s="24">
        <f t="shared" si="14"/>
        <v>0</v>
      </c>
      <c r="L74" s="22">
        <f>Test!B144</f>
        <v>0</v>
      </c>
      <c r="M74" s="23">
        <f>Test!C144</f>
        <v>0</v>
      </c>
      <c r="N74" s="23">
        <f>Test!D144</f>
        <v>0</v>
      </c>
      <c r="O74" s="23">
        <f>Test!E144</f>
        <v>0</v>
      </c>
      <c r="P74" s="23">
        <f>Test!F144</f>
        <v>0</v>
      </c>
      <c r="Q74" s="23">
        <f>Test!G144</f>
        <v>0</v>
      </c>
      <c r="R74" s="24">
        <f t="shared" si="15"/>
        <v>0</v>
      </c>
      <c r="S74" s="22" t="e">
        <f t="shared" si="12"/>
        <v>#DIV/0!</v>
      </c>
      <c r="T74" s="23" t="e">
        <f t="shared" si="13"/>
        <v>#DIV/0!</v>
      </c>
      <c r="U74" s="92"/>
      <c r="V74" s="78"/>
      <c r="W74" s="79"/>
      <c r="X74" s="80"/>
      <c r="Y74" s="39"/>
      <c r="Z74" s="51"/>
      <c r="AA74" s="52"/>
    </row>
    <row r="75" spans="1:27" x14ac:dyDescent="0.2">
      <c r="B75" s="89" t="s">
        <v>46</v>
      </c>
      <c r="I75" s="15">
        <f>GEOMEAN(I3:I18)</f>
        <v>49.35725647372513</v>
      </c>
      <c r="J75" s="15">
        <f>GEOMEAN(J3:J18)</f>
        <v>50.616712809900271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6">AVERAGE(W3:W18)</f>
        <v>#VALUE!</v>
      </c>
      <c r="X75" s="42" t="e">
        <f t="shared" si="16"/>
        <v>#VALUE!</v>
      </c>
      <c r="Y75" s="37" t="e">
        <f>AVERAGE(Y3:Y18)</f>
        <v>#VALUE!</v>
      </c>
      <c r="Z75" s="42" t="e">
        <f t="shared" si="16"/>
        <v>#VALUE!</v>
      </c>
      <c r="AA75" s="43" t="e">
        <f t="shared" si="16"/>
        <v>#VALUE!</v>
      </c>
    </row>
    <row r="76" spans="1:27" x14ac:dyDescent="0.2">
      <c r="B76" s="89" t="s">
        <v>47</v>
      </c>
      <c r="I76" s="15">
        <f>GEOMEAN(I19:I34)</f>
        <v>12.519694202548749</v>
      </c>
      <c r="J76" s="15">
        <f>GEOMEAN(J19:J34)</f>
        <v>12.327850241444319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40" t="e">
        <f>AVERAGE(V19:V34)</f>
        <v>#VALUE!</v>
      </c>
      <c r="W76" s="44" t="e">
        <f t="shared" ref="W76:AA76" si="17">AVERAGE(W19:W34)</f>
        <v>#VALUE!</v>
      </c>
      <c r="X76" s="44" t="e">
        <f t="shared" si="17"/>
        <v>#VALUE!</v>
      </c>
      <c r="Y76" s="40" t="e">
        <f t="shared" si="17"/>
        <v>#VALUE!</v>
      </c>
      <c r="Z76" s="44" t="e">
        <f t="shared" si="17"/>
        <v>#VALUE!</v>
      </c>
      <c r="AA76" s="45" t="e">
        <f t="shared" si="17"/>
        <v>#VALUE!</v>
      </c>
    </row>
    <row r="77" spans="1:27" x14ac:dyDescent="0.2">
      <c r="B77" s="89" t="s">
        <v>51</v>
      </c>
      <c r="I77" s="15">
        <f>GEOMEAN(I35:I50)</f>
        <v>4.8937885078577192</v>
      </c>
      <c r="J77" s="15">
        <f>GEOMEAN(J35:J50)</f>
        <v>3.3182931621511327</v>
      </c>
      <c r="Q77" s="15">
        <f>GEOMEAN(Q35:Q50)</f>
        <v>4.8814579436169039</v>
      </c>
      <c r="R77" s="15">
        <f>GEOMEAN(R35:R50)</f>
        <v>3.3391407295567515</v>
      </c>
      <c r="S77" s="15">
        <f>GEOMEAN(S35:S50)</f>
        <v>1.0062826177154593</v>
      </c>
      <c r="T77" s="15">
        <f>GEOMEAN(T35:T50)</f>
        <v>0.9974803642983312</v>
      </c>
      <c r="V77" s="40">
        <f>AVERAGE(V35:V50)</f>
        <v>-5.5566622038654978E-3</v>
      </c>
      <c r="W77" s="44">
        <f t="shared" ref="W77:AA77" si="18">AVERAGE(W35:W50)</f>
        <v>-8.6309348776815176E-3</v>
      </c>
      <c r="X77" s="44">
        <f t="shared" si="18"/>
        <v>-3.4217564463833727E-3</v>
      </c>
      <c r="Y77" s="40">
        <f t="shared" si="18"/>
        <v>-5.40752160006161E-3</v>
      </c>
      <c r="Z77" s="44">
        <f t="shared" si="18"/>
        <v>-8.7850249676514058E-3</v>
      </c>
      <c r="AA77" s="45">
        <f t="shared" si="18"/>
        <v>-3.4885649364176097E-3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9">AVERAGE(W51:W58)</f>
        <v>#VALUE!</v>
      </c>
      <c r="X78" s="44" t="e">
        <f t="shared" si="19"/>
        <v>#VALUE!</v>
      </c>
      <c r="Y78" s="40" t="e">
        <f t="shared" si="19"/>
        <v>#VALUE!</v>
      </c>
      <c r="Z78" s="44" t="e">
        <f t="shared" si="19"/>
        <v>#VALUE!</v>
      </c>
      <c r="AA78" s="45" t="e">
        <f t="shared" si="19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0">GEOMEAN(S59:S74)</f>
        <v>#DIV/0!</v>
      </c>
      <c r="T79" s="15" t="e">
        <f t="shared" si="20"/>
        <v>#DIV/0!</v>
      </c>
      <c r="V79" s="40" t="e">
        <f>AVERAGE(V59:V74)</f>
        <v>#VALUE!</v>
      </c>
      <c r="W79" s="44" t="e">
        <f t="shared" ref="W79:AA79" si="21">AVERAGE(W59:W74)</f>
        <v>#VALUE!</v>
      </c>
      <c r="X79" s="44" t="e">
        <f t="shared" si="21"/>
        <v>#VALUE!</v>
      </c>
      <c r="Y79" s="40" t="e">
        <f t="shared" si="21"/>
        <v>#VALUE!</v>
      </c>
      <c r="Z79" s="44" t="e">
        <f t="shared" si="21"/>
        <v>#VALUE!</v>
      </c>
      <c r="AA79" s="45" t="e">
        <f t="shared" si="21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14.460943960580948</v>
      </c>
      <c r="J80" s="54">
        <f xml:space="preserve"> GEOMEAN(J3:J50)</f>
        <v>12.745748552865345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2">AVERAGE(W3:W50)</f>
        <v>#VALUE!</v>
      </c>
      <c r="X80" s="47" t="e">
        <f t="shared" si="22"/>
        <v>#VALUE!</v>
      </c>
      <c r="Y80" s="46" t="e">
        <f t="shared" si="22"/>
        <v>#VALUE!</v>
      </c>
      <c r="Z80" s="46" t="e">
        <f t="shared" si="22"/>
        <v>#VALUE!</v>
      </c>
      <c r="AA80" s="47" t="e">
        <f t="shared" si="22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AA7">
    <cfRule type="cellIs" dxfId="539" priority="583" operator="greaterThan">
      <formula>0.03</formula>
    </cfRule>
    <cfRule type="cellIs" dxfId="538" priority="584" stopIfTrue="1" operator="lessThan">
      <formula>-0.03</formula>
    </cfRule>
  </conditionalFormatting>
  <conditionalFormatting sqref="Z11">
    <cfRule type="cellIs" dxfId="537" priority="579" operator="greaterThan">
      <formula>0.03</formula>
    </cfRule>
    <cfRule type="cellIs" dxfId="536" priority="580" stopIfTrue="1" operator="lessThan">
      <formula>-0.03</formula>
    </cfRule>
  </conditionalFormatting>
  <conditionalFormatting sqref="Y6:Z6">
    <cfRule type="cellIs" dxfId="535" priority="569" operator="greaterThan">
      <formula>0.03</formula>
    </cfRule>
    <cfRule type="cellIs" dxfId="534" priority="570" stopIfTrue="1" operator="lessThan">
      <formula>-0.03</formula>
    </cfRule>
  </conditionalFormatting>
  <conditionalFormatting sqref="Y14:Z14">
    <cfRule type="cellIs" dxfId="533" priority="565" operator="greaterThan">
      <formula>0.03</formula>
    </cfRule>
    <cfRule type="cellIs" dxfId="532" priority="566" stopIfTrue="1" operator="lessThan">
      <formula>-0.03</formula>
    </cfRule>
  </conditionalFormatting>
  <conditionalFormatting sqref="Y23">
    <cfRule type="cellIs" dxfId="531" priority="483" operator="greaterThan">
      <formula>0.03</formula>
    </cfRule>
    <cfRule type="cellIs" dxfId="530" priority="484" stopIfTrue="1" operator="lessThan">
      <formula>-0.03</formula>
    </cfRule>
  </conditionalFormatting>
  <conditionalFormatting sqref="Z19">
    <cfRule type="cellIs" dxfId="529" priority="487" operator="greaterThan">
      <formula>0.03</formula>
    </cfRule>
    <cfRule type="cellIs" dxfId="528" priority="488" stopIfTrue="1" operator="lessThan">
      <formula>-0.03</formula>
    </cfRule>
  </conditionalFormatting>
  <conditionalFormatting sqref="AA19">
    <cfRule type="cellIs" dxfId="527" priority="485" operator="greaterThan">
      <formula>0.03</formula>
    </cfRule>
    <cfRule type="cellIs" dxfId="526" priority="486" stopIfTrue="1" operator="lessThan">
      <formula>-0.03</formula>
    </cfRule>
  </conditionalFormatting>
  <conditionalFormatting sqref="Z35">
    <cfRule type="cellIs" dxfId="525" priority="393" operator="greaterThan">
      <formula>0.03</formula>
    </cfRule>
    <cfRule type="cellIs" dxfId="524" priority="394" stopIfTrue="1" operator="lessThan">
      <formula>-0.03</formula>
    </cfRule>
  </conditionalFormatting>
  <conditionalFormatting sqref="Y31">
    <cfRule type="cellIs" dxfId="523" priority="401" operator="greaterThan">
      <formula>0.03</formula>
    </cfRule>
    <cfRule type="cellIs" dxfId="522" priority="402" stopIfTrue="1" operator="lessThan">
      <formula>-0.03</formula>
    </cfRule>
  </conditionalFormatting>
  <conditionalFormatting sqref="AA27">
    <cfRule type="cellIs" dxfId="521" priority="417" operator="greaterThan">
      <formula>0.03</formula>
    </cfRule>
    <cfRule type="cellIs" dxfId="520" priority="418" stopIfTrue="1" operator="lessThan">
      <formula>-0.03</formula>
    </cfRule>
  </conditionalFormatting>
  <conditionalFormatting sqref="Y30:Z30">
    <cfRule type="cellIs" dxfId="519" priority="415" operator="greaterThan">
      <formula>0.03</formula>
    </cfRule>
    <cfRule type="cellIs" dxfId="518" priority="416" stopIfTrue="1" operator="lessThan">
      <formula>-0.03</formula>
    </cfRule>
  </conditionalFormatting>
  <conditionalFormatting sqref="AA35">
    <cfRule type="cellIs" dxfId="517" priority="391" operator="greaterThan">
      <formula>0.03</formula>
    </cfRule>
    <cfRule type="cellIs" dxfId="516" priority="392" stopIfTrue="1" operator="lessThan">
      <formula>-0.03</formula>
    </cfRule>
  </conditionalFormatting>
  <conditionalFormatting sqref="Y34:Z34">
    <cfRule type="cellIs" dxfId="515" priority="389" operator="greaterThan">
      <formula>0.03</formula>
    </cfRule>
    <cfRule type="cellIs" dxfId="514" priority="390" stopIfTrue="1" operator="lessThan">
      <formula>-0.03</formula>
    </cfRule>
  </conditionalFormatting>
  <conditionalFormatting sqref="Y38:Z38">
    <cfRule type="cellIs" dxfId="513" priority="387" operator="greaterThan">
      <formula>0.03</formula>
    </cfRule>
    <cfRule type="cellIs" dxfId="512" priority="388" stopIfTrue="1" operator="lessThan">
      <formula>-0.03</formula>
    </cfRule>
  </conditionalFormatting>
  <conditionalFormatting sqref="V31:X38">
    <cfRule type="cellIs" dxfId="511" priority="403" operator="greaterThan">
      <formula>0.03</formula>
    </cfRule>
    <cfRule type="cellIs" dxfId="510" priority="404" stopIfTrue="1" operator="lessThan">
      <formula>-0.03</formula>
    </cfRule>
  </conditionalFormatting>
  <conditionalFormatting sqref="Z31">
    <cfRule type="cellIs" dxfId="509" priority="399" operator="greaterThan">
      <formula>0.03</formula>
    </cfRule>
    <cfRule type="cellIs" dxfId="508" priority="400" stopIfTrue="1" operator="lessThan">
      <formula>-0.03</formula>
    </cfRule>
  </conditionalFormatting>
  <conditionalFormatting sqref="AA31">
    <cfRule type="cellIs" dxfId="507" priority="397" operator="greaterThan">
      <formula>0.03</formula>
    </cfRule>
    <cfRule type="cellIs" dxfId="506" priority="398" stopIfTrue="1" operator="lessThan">
      <formula>-0.03</formula>
    </cfRule>
  </conditionalFormatting>
  <conditionalFormatting sqref="Y35">
    <cfRule type="cellIs" dxfId="505" priority="395" operator="greaterThan">
      <formula>0.03</formula>
    </cfRule>
    <cfRule type="cellIs" dxfId="504" priority="396" stopIfTrue="1" operator="lessThan">
      <formula>-0.03</formula>
    </cfRule>
  </conditionalFormatting>
  <conditionalFormatting sqref="V39:X46">
    <cfRule type="cellIs" dxfId="503" priority="365" operator="greaterThan">
      <formula>0.03</formula>
    </cfRule>
    <cfRule type="cellIs" dxfId="502" priority="366" stopIfTrue="1" operator="lessThan">
      <formula>-0.03</formula>
    </cfRule>
  </conditionalFormatting>
  <conditionalFormatting sqref="Y39">
    <cfRule type="cellIs" dxfId="501" priority="363" operator="greaterThan">
      <formula>0.03</formula>
    </cfRule>
    <cfRule type="cellIs" dxfId="500" priority="364" stopIfTrue="1" operator="lessThan">
      <formula>-0.03</formula>
    </cfRule>
  </conditionalFormatting>
  <conditionalFormatting sqref="Z39">
    <cfRule type="cellIs" dxfId="499" priority="361" operator="greaterThan">
      <formula>0.03</formula>
    </cfRule>
    <cfRule type="cellIs" dxfId="498" priority="362" stopIfTrue="1" operator="lessThan">
      <formula>-0.03</formula>
    </cfRule>
  </conditionalFormatting>
  <conditionalFormatting sqref="AA39">
    <cfRule type="cellIs" dxfId="497" priority="359" operator="greaterThan">
      <formula>0.03</formula>
    </cfRule>
    <cfRule type="cellIs" dxfId="496" priority="360" stopIfTrue="1" operator="lessThan">
      <formula>-0.03</formula>
    </cfRule>
  </conditionalFormatting>
  <conditionalFormatting sqref="Y43">
    <cfRule type="cellIs" dxfId="495" priority="357" operator="greaterThan">
      <formula>0.03</formula>
    </cfRule>
    <cfRule type="cellIs" dxfId="494" priority="358" stopIfTrue="1" operator="lessThan">
      <formula>-0.03</formula>
    </cfRule>
  </conditionalFormatting>
  <conditionalFormatting sqref="Z43">
    <cfRule type="cellIs" dxfId="493" priority="355" operator="greaterThan">
      <formula>0.03</formula>
    </cfRule>
    <cfRule type="cellIs" dxfId="492" priority="356" stopIfTrue="1" operator="lessThan">
      <formula>-0.03</formula>
    </cfRule>
  </conditionalFormatting>
  <conditionalFormatting sqref="AA43">
    <cfRule type="cellIs" dxfId="491" priority="353" operator="greaterThan">
      <formula>0.03</formula>
    </cfRule>
    <cfRule type="cellIs" dxfId="490" priority="354" stopIfTrue="1" operator="lessThan">
      <formula>-0.03</formula>
    </cfRule>
  </conditionalFormatting>
  <conditionalFormatting sqref="Y42:Z42">
    <cfRule type="cellIs" dxfId="489" priority="351" operator="greaterThan">
      <formula>0.03</formula>
    </cfRule>
    <cfRule type="cellIs" dxfId="488" priority="352" stopIfTrue="1" operator="lessThan">
      <formula>-0.03</formula>
    </cfRule>
  </conditionalFormatting>
  <conditionalFormatting sqref="Y46:Z46">
    <cfRule type="cellIs" dxfId="487" priority="349" operator="greaterThan">
      <formula>0.03</formula>
    </cfRule>
    <cfRule type="cellIs" dxfId="486" priority="350" stopIfTrue="1" operator="lessThan">
      <formula>-0.03</formula>
    </cfRule>
  </conditionalFormatting>
  <conditionalFormatting sqref="V47:X58">
    <cfRule type="cellIs" dxfId="485" priority="327" operator="greaterThan">
      <formula>0.03</formula>
    </cfRule>
    <cfRule type="cellIs" dxfId="484" priority="328" stopIfTrue="1" operator="lessThan">
      <formula>-0.03</formula>
    </cfRule>
  </conditionalFormatting>
  <conditionalFormatting sqref="Y47">
    <cfRule type="cellIs" dxfId="483" priority="325" operator="greaterThan">
      <formula>0.03</formula>
    </cfRule>
    <cfRule type="cellIs" dxfId="482" priority="326" stopIfTrue="1" operator="lessThan">
      <formula>-0.03</formula>
    </cfRule>
  </conditionalFormatting>
  <conditionalFormatting sqref="Z47">
    <cfRule type="cellIs" dxfId="481" priority="323" operator="greaterThan">
      <formula>0.03</formula>
    </cfRule>
    <cfRule type="cellIs" dxfId="480" priority="324" stopIfTrue="1" operator="lessThan">
      <formula>-0.03</formula>
    </cfRule>
  </conditionalFormatting>
  <conditionalFormatting sqref="AA47">
    <cfRule type="cellIs" dxfId="479" priority="321" operator="greaterThan">
      <formula>0.03</formula>
    </cfRule>
    <cfRule type="cellIs" dxfId="478" priority="322" stopIfTrue="1" operator="lessThan">
      <formula>-0.03</formula>
    </cfRule>
  </conditionalFormatting>
  <conditionalFormatting sqref="Y51">
    <cfRule type="cellIs" dxfId="477" priority="319" operator="greaterThan">
      <formula>0.03</formula>
    </cfRule>
    <cfRule type="cellIs" dxfId="476" priority="320" stopIfTrue="1" operator="lessThan">
      <formula>-0.03</formula>
    </cfRule>
  </conditionalFormatting>
  <conditionalFormatting sqref="Z51">
    <cfRule type="cellIs" dxfId="475" priority="317" operator="greaterThan">
      <formula>0.03</formula>
    </cfRule>
    <cfRule type="cellIs" dxfId="474" priority="318" stopIfTrue="1" operator="lessThan">
      <formula>-0.03</formula>
    </cfRule>
  </conditionalFormatting>
  <conditionalFormatting sqref="AA51">
    <cfRule type="cellIs" dxfId="473" priority="315" operator="greaterThan">
      <formula>0.03</formula>
    </cfRule>
    <cfRule type="cellIs" dxfId="472" priority="316" stopIfTrue="1" operator="lessThan">
      <formula>-0.03</formula>
    </cfRule>
  </conditionalFormatting>
  <conditionalFormatting sqref="Y55">
    <cfRule type="cellIs" dxfId="471" priority="313" operator="greaterThan">
      <formula>0.03</formula>
    </cfRule>
    <cfRule type="cellIs" dxfId="470" priority="314" stopIfTrue="1" operator="lessThan">
      <formula>-0.03</formula>
    </cfRule>
  </conditionalFormatting>
  <conditionalFormatting sqref="Z55">
    <cfRule type="cellIs" dxfId="469" priority="311" operator="greaterThan">
      <formula>0.03</formula>
    </cfRule>
    <cfRule type="cellIs" dxfId="468" priority="312" stopIfTrue="1" operator="lessThan">
      <formula>-0.03</formula>
    </cfRule>
  </conditionalFormatting>
  <conditionalFormatting sqref="AA55">
    <cfRule type="cellIs" dxfId="467" priority="309" operator="greaterThan">
      <formula>0.03</formula>
    </cfRule>
    <cfRule type="cellIs" dxfId="466" priority="310" stopIfTrue="1" operator="lessThan">
      <formula>-0.03</formula>
    </cfRule>
  </conditionalFormatting>
  <conditionalFormatting sqref="Y54:Z54">
    <cfRule type="cellIs" dxfId="465" priority="299" operator="greaterThan">
      <formula>0.03</formula>
    </cfRule>
    <cfRule type="cellIs" dxfId="464" priority="300" stopIfTrue="1" operator="lessThan">
      <formula>-0.03</formula>
    </cfRule>
  </conditionalFormatting>
  <conditionalFormatting sqref="Y50:Z50">
    <cfRule type="cellIs" dxfId="463" priority="301" operator="greaterThan">
      <formula>0.03</formula>
    </cfRule>
    <cfRule type="cellIs" dxfId="462" priority="302" stopIfTrue="1" operator="lessThan">
      <formula>-0.03</formula>
    </cfRule>
  </conditionalFormatting>
  <conditionalFormatting sqref="Y58:Z58">
    <cfRule type="cellIs" dxfId="461" priority="297" operator="greaterThan">
      <formula>0.03</formula>
    </cfRule>
    <cfRule type="cellIs" dxfId="460" priority="298" stopIfTrue="1" operator="lessThan">
      <formula>-0.03</formula>
    </cfRule>
  </conditionalFormatting>
  <conditionalFormatting sqref="V3:X14">
    <cfRule type="cellIs" dxfId="459" priority="595" operator="greaterThan">
      <formula>0.03</formula>
    </cfRule>
    <cfRule type="cellIs" dxfId="458" priority="596" stopIfTrue="1" operator="lessThan">
      <formula>-0.03</formula>
    </cfRule>
  </conditionalFormatting>
  <conditionalFormatting sqref="Y3">
    <cfRule type="cellIs" dxfId="457" priority="593" operator="greaterThan">
      <formula>0.03</formula>
    </cfRule>
    <cfRule type="cellIs" dxfId="456" priority="594" stopIfTrue="1" operator="lessThan">
      <formula>-0.03</formula>
    </cfRule>
  </conditionalFormatting>
  <conditionalFormatting sqref="Z3">
    <cfRule type="cellIs" dxfId="455" priority="591" operator="greaterThan">
      <formula>0.03</formula>
    </cfRule>
    <cfRule type="cellIs" dxfId="454" priority="592" stopIfTrue="1" operator="lessThan">
      <formula>-0.03</formula>
    </cfRule>
  </conditionalFormatting>
  <conditionalFormatting sqref="AA3">
    <cfRule type="cellIs" dxfId="453" priority="589" operator="greaterThan">
      <formula>0.03</formula>
    </cfRule>
    <cfRule type="cellIs" dxfId="452" priority="590" stopIfTrue="1" operator="lessThan">
      <formula>-0.03</formula>
    </cfRule>
  </conditionalFormatting>
  <conditionalFormatting sqref="Y7">
    <cfRule type="cellIs" dxfId="451" priority="587" operator="greaterThan">
      <formula>0.03</formula>
    </cfRule>
    <cfRule type="cellIs" dxfId="450" priority="588" stopIfTrue="1" operator="lessThan">
      <formula>-0.03</formula>
    </cfRule>
  </conditionalFormatting>
  <conditionalFormatting sqref="Z7">
    <cfRule type="cellIs" dxfId="449" priority="585" operator="greaterThan">
      <formula>0.03</formula>
    </cfRule>
    <cfRule type="cellIs" dxfId="448" priority="586" stopIfTrue="1" operator="lessThan">
      <formula>-0.03</formula>
    </cfRule>
  </conditionalFormatting>
  <conditionalFormatting sqref="Y11">
    <cfRule type="cellIs" dxfId="447" priority="581" operator="greaterThan">
      <formula>0.03</formula>
    </cfRule>
    <cfRule type="cellIs" dxfId="446" priority="582" stopIfTrue="1" operator="lessThan">
      <formula>-0.03</formula>
    </cfRule>
  </conditionalFormatting>
  <conditionalFormatting sqref="AA11">
    <cfRule type="cellIs" dxfId="445" priority="577" operator="greaterThan">
      <formula>0.03</formula>
    </cfRule>
    <cfRule type="cellIs" dxfId="444" priority="578" stopIfTrue="1" operator="lessThan">
      <formula>-0.03</formula>
    </cfRule>
  </conditionalFormatting>
  <conditionalFormatting sqref="Y10:Z10">
    <cfRule type="cellIs" dxfId="443" priority="567" operator="greaterThan">
      <formula>0.03</formula>
    </cfRule>
    <cfRule type="cellIs" dxfId="442" priority="568" stopIfTrue="1" operator="lessThan">
      <formula>-0.03</formula>
    </cfRule>
  </conditionalFormatting>
  <conditionalFormatting sqref="Y19">
    <cfRule type="cellIs" dxfId="441" priority="489" operator="greaterThan">
      <formula>0.03</formula>
    </cfRule>
    <cfRule type="cellIs" dxfId="440" priority="490" stopIfTrue="1" operator="lessThan">
      <formula>-0.03</formula>
    </cfRule>
  </conditionalFormatting>
  <conditionalFormatting sqref="V15:X26">
    <cfRule type="cellIs" dxfId="439" priority="497" operator="greaterThan">
      <formula>0.03</formula>
    </cfRule>
    <cfRule type="cellIs" dxfId="438" priority="498" stopIfTrue="1" operator="lessThan">
      <formula>-0.03</formula>
    </cfRule>
  </conditionalFormatting>
  <conditionalFormatting sqref="Y15">
    <cfRule type="cellIs" dxfId="437" priority="495" operator="greaterThan">
      <formula>0.03</formula>
    </cfRule>
    <cfRule type="cellIs" dxfId="436" priority="496" stopIfTrue="1" operator="lessThan">
      <formula>-0.03</formula>
    </cfRule>
  </conditionalFormatting>
  <conditionalFormatting sqref="Z15">
    <cfRule type="cellIs" dxfId="435" priority="493" operator="greaterThan">
      <formula>0.03</formula>
    </cfRule>
    <cfRule type="cellIs" dxfId="434" priority="494" stopIfTrue="1" operator="lessThan">
      <formula>-0.03</formula>
    </cfRule>
  </conditionalFormatting>
  <conditionalFormatting sqref="AA15">
    <cfRule type="cellIs" dxfId="433" priority="491" operator="greaterThan">
      <formula>0.03</formula>
    </cfRule>
    <cfRule type="cellIs" dxfId="432" priority="492" stopIfTrue="1" operator="lessThan">
      <formula>-0.03</formula>
    </cfRule>
  </conditionalFormatting>
  <conditionalFormatting sqref="Z23">
    <cfRule type="cellIs" dxfId="431" priority="481" operator="greaterThan">
      <formula>0.03</formula>
    </cfRule>
    <cfRule type="cellIs" dxfId="430" priority="482" stopIfTrue="1" operator="lessThan">
      <formula>-0.03</formula>
    </cfRule>
  </conditionalFormatting>
  <conditionalFormatting sqref="AA23">
    <cfRule type="cellIs" dxfId="429" priority="479" operator="greaterThan">
      <formula>0.03</formula>
    </cfRule>
    <cfRule type="cellIs" dxfId="428" priority="480" stopIfTrue="1" operator="lessThan">
      <formula>-0.03</formula>
    </cfRule>
  </conditionalFormatting>
  <conditionalFormatting sqref="Y18:Z18">
    <cfRule type="cellIs" dxfId="427" priority="471" operator="greaterThan">
      <formula>0.03</formula>
    </cfRule>
    <cfRule type="cellIs" dxfId="426" priority="472" stopIfTrue="1" operator="lessThan">
      <formula>-0.03</formula>
    </cfRule>
  </conditionalFormatting>
  <conditionalFormatting sqref="Y22:Z22">
    <cfRule type="cellIs" dxfId="425" priority="469" operator="greaterThan">
      <formula>0.03</formula>
    </cfRule>
    <cfRule type="cellIs" dxfId="424" priority="470" stopIfTrue="1" operator="lessThan">
      <formula>-0.03</formula>
    </cfRule>
  </conditionalFormatting>
  <conditionalFormatting sqref="Y26:Z26">
    <cfRule type="cellIs" dxfId="423" priority="467" operator="greaterThan">
      <formula>0.03</formula>
    </cfRule>
    <cfRule type="cellIs" dxfId="422" priority="468" stopIfTrue="1" operator="lessThan">
      <formula>-0.03</formula>
    </cfRule>
  </conditionalFormatting>
  <conditionalFormatting sqref="V27:X30">
    <cfRule type="cellIs" dxfId="421" priority="423" operator="greaterThan">
      <formula>0.03</formula>
    </cfRule>
    <cfRule type="cellIs" dxfId="420" priority="424" stopIfTrue="1" operator="lessThan">
      <formula>-0.03</formula>
    </cfRule>
  </conditionalFormatting>
  <conditionalFormatting sqref="Y27">
    <cfRule type="cellIs" dxfId="419" priority="421" operator="greaterThan">
      <formula>0.03</formula>
    </cfRule>
    <cfRule type="cellIs" dxfId="418" priority="422" stopIfTrue="1" operator="lessThan">
      <formula>-0.03</formula>
    </cfRule>
  </conditionalFormatting>
  <conditionalFormatting sqref="Z27">
    <cfRule type="cellIs" dxfId="417" priority="419" operator="greaterThan">
      <formula>0.03</formula>
    </cfRule>
    <cfRule type="cellIs" dxfId="416" priority="420" stopIfTrue="1" operator="lessThan">
      <formula>-0.03</formula>
    </cfRule>
  </conditionalFormatting>
  <conditionalFormatting sqref="V75:X78">
    <cfRule type="cellIs" dxfId="415" priority="49" operator="greaterThan">
      <formula>0.03</formula>
    </cfRule>
    <cfRule type="cellIs" dxfId="414" priority="50" stopIfTrue="1" operator="lessThan">
      <formula>-0.03</formula>
    </cfRule>
  </conditionalFormatting>
  <conditionalFormatting sqref="Y75:AA78">
    <cfRule type="cellIs" dxfId="413" priority="47" operator="greaterThan">
      <formula>0.03</formula>
    </cfRule>
    <cfRule type="cellIs" dxfId="412" priority="48" stopIfTrue="1" operator="lessThan">
      <formula>-0.03</formula>
    </cfRule>
  </conditionalFormatting>
  <conditionalFormatting sqref="V80:AA80">
    <cfRule type="cellIs" dxfId="411" priority="43" operator="greaterThan">
      <formula>0.03</formula>
    </cfRule>
    <cfRule type="cellIs" dxfId="410" priority="44" stopIfTrue="1" operator="lessThan">
      <formula>-0.03</formula>
    </cfRule>
  </conditionalFormatting>
  <conditionalFormatting sqref="Z59">
    <cfRule type="cellIs" dxfId="409" priority="37" operator="greaterThan">
      <formula>0.03</formula>
    </cfRule>
    <cfRule type="cellIs" dxfId="408" priority="38" stopIfTrue="1" operator="lessThan">
      <formula>-0.03</formula>
    </cfRule>
  </conditionalFormatting>
  <conditionalFormatting sqref="AA59">
    <cfRule type="cellIs" dxfId="407" priority="35" operator="greaterThan">
      <formula>0.03</formula>
    </cfRule>
    <cfRule type="cellIs" dxfId="406" priority="36" stopIfTrue="1" operator="lessThan">
      <formula>-0.03</formula>
    </cfRule>
  </conditionalFormatting>
  <conditionalFormatting sqref="Y62:Z62">
    <cfRule type="cellIs" dxfId="405" priority="33" operator="greaterThan">
      <formula>0.03</formula>
    </cfRule>
    <cfRule type="cellIs" dxfId="404" priority="34" stopIfTrue="1" operator="lessThan">
      <formula>-0.03</formula>
    </cfRule>
  </conditionalFormatting>
  <conditionalFormatting sqref="V59:X62">
    <cfRule type="cellIs" dxfId="403" priority="41" operator="greaterThan">
      <formula>0.03</formula>
    </cfRule>
    <cfRule type="cellIs" dxfId="402" priority="42" stopIfTrue="1" operator="lessThan">
      <formula>-0.03</formula>
    </cfRule>
  </conditionalFormatting>
  <conditionalFormatting sqref="Y59">
    <cfRule type="cellIs" dxfId="401" priority="39" operator="greaterThan">
      <formula>0.03</formula>
    </cfRule>
    <cfRule type="cellIs" dxfId="400" priority="40" stopIfTrue="1" operator="lessThan">
      <formula>-0.03</formula>
    </cfRule>
  </conditionalFormatting>
  <conditionalFormatting sqref="V63:X70">
    <cfRule type="cellIs" dxfId="399" priority="31" operator="greaterThan">
      <formula>0.03</formula>
    </cfRule>
    <cfRule type="cellIs" dxfId="398" priority="32" stopIfTrue="1" operator="lessThan">
      <formula>-0.03</formula>
    </cfRule>
  </conditionalFormatting>
  <conditionalFormatting sqref="Y63">
    <cfRule type="cellIs" dxfId="397" priority="29" operator="greaterThan">
      <formula>0.03</formula>
    </cfRule>
    <cfRule type="cellIs" dxfId="396" priority="30" stopIfTrue="1" operator="lessThan">
      <formula>-0.03</formula>
    </cfRule>
  </conditionalFormatting>
  <conditionalFormatting sqref="Z63">
    <cfRule type="cellIs" dxfId="395" priority="27" operator="greaterThan">
      <formula>0.03</formula>
    </cfRule>
    <cfRule type="cellIs" dxfId="394" priority="28" stopIfTrue="1" operator="lessThan">
      <formula>-0.03</formula>
    </cfRule>
  </conditionalFormatting>
  <conditionalFormatting sqref="AA63">
    <cfRule type="cellIs" dxfId="393" priority="25" operator="greaterThan">
      <formula>0.03</formula>
    </cfRule>
    <cfRule type="cellIs" dxfId="392" priority="26" stopIfTrue="1" operator="lessThan">
      <formula>-0.03</formula>
    </cfRule>
  </conditionalFormatting>
  <conditionalFormatting sqref="Y67">
    <cfRule type="cellIs" dxfId="391" priority="23" operator="greaterThan">
      <formula>0.03</formula>
    </cfRule>
    <cfRule type="cellIs" dxfId="390" priority="24" stopIfTrue="1" operator="lessThan">
      <formula>-0.03</formula>
    </cfRule>
  </conditionalFormatting>
  <conditionalFormatting sqref="Z67">
    <cfRule type="cellIs" dxfId="389" priority="21" operator="greaterThan">
      <formula>0.03</formula>
    </cfRule>
    <cfRule type="cellIs" dxfId="388" priority="22" stopIfTrue="1" operator="lessThan">
      <formula>-0.03</formula>
    </cfRule>
  </conditionalFormatting>
  <conditionalFormatting sqref="AA67">
    <cfRule type="cellIs" dxfId="387" priority="19" operator="greaterThan">
      <formula>0.03</formula>
    </cfRule>
    <cfRule type="cellIs" dxfId="386" priority="20" stopIfTrue="1" operator="lessThan">
      <formula>-0.03</formula>
    </cfRule>
  </conditionalFormatting>
  <conditionalFormatting sqref="Y66:Z66">
    <cfRule type="cellIs" dxfId="385" priority="17" operator="greaterThan">
      <formula>0.03</formula>
    </cfRule>
    <cfRule type="cellIs" dxfId="384" priority="18" stopIfTrue="1" operator="lessThan">
      <formula>-0.03</formula>
    </cfRule>
  </conditionalFormatting>
  <conditionalFormatting sqref="Y70:Z70">
    <cfRule type="cellIs" dxfId="383" priority="15" operator="greaterThan">
      <formula>0.03</formula>
    </cfRule>
    <cfRule type="cellIs" dxfId="382" priority="16" stopIfTrue="1" operator="lessThan">
      <formula>-0.03</formula>
    </cfRule>
  </conditionalFormatting>
  <conditionalFormatting sqref="V71:X74">
    <cfRule type="cellIs" dxfId="381" priority="13" operator="greaterThan">
      <formula>0.03</formula>
    </cfRule>
    <cfRule type="cellIs" dxfId="380" priority="14" stopIfTrue="1" operator="lessThan">
      <formula>-0.03</formula>
    </cfRule>
  </conditionalFormatting>
  <conditionalFormatting sqref="Y71">
    <cfRule type="cellIs" dxfId="379" priority="11" operator="greaterThan">
      <formula>0.03</formula>
    </cfRule>
    <cfRule type="cellIs" dxfId="378" priority="12" stopIfTrue="1" operator="lessThan">
      <formula>-0.03</formula>
    </cfRule>
  </conditionalFormatting>
  <conditionalFormatting sqref="Z71">
    <cfRule type="cellIs" dxfId="377" priority="9" operator="greaterThan">
      <formula>0.03</formula>
    </cfRule>
    <cfRule type="cellIs" dxfId="376" priority="10" stopIfTrue="1" operator="lessThan">
      <formula>-0.03</formula>
    </cfRule>
  </conditionalFormatting>
  <conditionalFormatting sqref="AA71">
    <cfRule type="cellIs" dxfId="375" priority="7" operator="greaterThan">
      <formula>0.03</formula>
    </cfRule>
    <cfRule type="cellIs" dxfId="374" priority="8" stopIfTrue="1" operator="lessThan">
      <formula>-0.03</formula>
    </cfRule>
  </conditionalFormatting>
  <conditionalFormatting sqref="Y74:Z74">
    <cfRule type="cellIs" dxfId="373" priority="5" operator="greaterThan">
      <formula>0.03</formula>
    </cfRule>
    <cfRule type="cellIs" dxfId="372" priority="6" stopIfTrue="1" operator="lessThan">
      <formula>-0.03</formula>
    </cfRule>
  </conditionalFormatting>
  <conditionalFormatting sqref="V79:X79">
    <cfRule type="cellIs" dxfId="371" priority="3" operator="greaterThan">
      <formula>0.03</formula>
    </cfRule>
    <cfRule type="cellIs" dxfId="370" priority="4" stopIfTrue="1" operator="lessThan">
      <formula>-0.03</formula>
    </cfRule>
  </conditionalFormatting>
  <conditionalFormatting sqref="Y79:AA79">
    <cfRule type="cellIs" dxfId="369" priority="1" operator="greaterThan">
      <formula>0.03</formula>
    </cfRule>
    <cfRule type="cellIs" dxfId="368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/>
  <dimension ref="A1:AA83"/>
  <sheetViews>
    <sheetView zoomScale="85" zoomScaleNormal="85" workbookViewId="0">
      <selection activeCell="A79" sqref="A79:XFD79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19" width="8.375" style="1" customWidth="1"/>
    <col min="20" max="20" width="8.5" style="1" customWidth="1"/>
    <col min="21" max="21" width="7.2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Reference!B145</f>
        <v>16976.344000000001</v>
      </c>
      <c r="E3" s="13">
        <f>Reference!C145</f>
        <v>40.151200000000003</v>
      </c>
      <c r="F3" s="13">
        <f>Reference!D145</f>
        <v>48.547400000000003</v>
      </c>
      <c r="G3" s="13">
        <f>Reference!E145</f>
        <v>46.403500000000001</v>
      </c>
      <c r="H3" s="13">
        <f>Reference!F145</f>
        <v>195502.42199999999</v>
      </c>
      <c r="I3" s="13">
        <f>Reference!G145</f>
        <v>29.995999999999999</v>
      </c>
      <c r="J3" s="14">
        <f>H3/3600</f>
        <v>54.30622833333333</v>
      </c>
      <c r="L3" s="12">
        <f>Test!B145</f>
        <v>0</v>
      </c>
      <c r="M3" s="13">
        <f>Test!C145</f>
        <v>0</v>
      </c>
      <c r="N3" s="13">
        <f>Test!D145</f>
        <v>0</v>
      </c>
      <c r="O3" s="13">
        <f>Test!E145</f>
        <v>0</v>
      </c>
      <c r="P3" s="13">
        <f>Test!F145</f>
        <v>0</v>
      </c>
      <c r="Q3" s="13">
        <f>Test!G145</f>
        <v>0</v>
      </c>
      <c r="R3" s="14">
        <f>P3/3600</f>
        <v>0</v>
      </c>
      <c r="S3" s="12">
        <f t="shared" ref="S3:T3" si="0">P3/H3</f>
        <v>0</v>
      </c>
      <c r="T3" s="13">
        <f t="shared" si="0"/>
        <v>0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Reference!B146</f>
        <v>8565.1919999999991</v>
      </c>
      <c r="E4" s="18">
        <f>Reference!C146</f>
        <v>39.535299999999999</v>
      </c>
      <c r="F4" s="18">
        <f>Reference!D146</f>
        <v>47.656799999999997</v>
      </c>
      <c r="G4" s="18">
        <f>Reference!E146</f>
        <v>45.2652</v>
      </c>
      <c r="H4" s="18">
        <f>Reference!F146</f>
        <v>118742.79700000001</v>
      </c>
      <c r="I4" s="18">
        <f>Reference!G146</f>
        <v>28.045999999999999</v>
      </c>
      <c r="J4" s="19">
        <f t="shared" ref="J4:J14" si="1">H4/3600</f>
        <v>32.984110277777781</v>
      </c>
      <c r="L4" s="17">
        <f>Test!B146</f>
        <v>0</v>
      </c>
      <c r="M4" s="18">
        <f>Test!C146</f>
        <v>0</v>
      </c>
      <c r="N4" s="18">
        <f>Test!D146</f>
        <v>0</v>
      </c>
      <c r="O4" s="18">
        <f>Test!E146</f>
        <v>0</v>
      </c>
      <c r="P4" s="18">
        <f>Test!F146</f>
        <v>0</v>
      </c>
      <c r="Q4" s="18">
        <f>Test!G146</f>
        <v>0</v>
      </c>
      <c r="R4" s="19">
        <f t="shared" ref="R4:R14" si="2">P4/3600</f>
        <v>0</v>
      </c>
      <c r="S4" s="17">
        <f t="shared" ref="S4:S26" si="3">P4/H4</f>
        <v>0</v>
      </c>
      <c r="T4" s="18">
        <f t="shared" ref="T4:T26" si="4">Q4/I4</f>
        <v>0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Reference!B147</f>
        <v>4663.0720000000001</v>
      </c>
      <c r="E5" s="18">
        <f>Reference!C147</f>
        <v>38.5274</v>
      </c>
      <c r="F5" s="18">
        <f>Reference!D147</f>
        <v>46.523400000000002</v>
      </c>
      <c r="G5" s="18">
        <f>Reference!E147</f>
        <v>43.867199999999997</v>
      </c>
      <c r="H5" s="18">
        <f>Reference!F147</f>
        <v>65179.754000000001</v>
      </c>
      <c r="I5" s="18">
        <f>Reference!G147</f>
        <v>24.681999999999999</v>
      </c>
      <c r="J5" s="19">
        <f t="shared" si="1"/>
        <v>18.105487222222223</v>
      </c>
      <c r="L5" s="17">
        <f>Test!B147</f>
        <v>0</v>
      </c>
      <c r="M5" s="18">
        <f>Test!C147</f>
        <v>0</v>
      </c>
      <c r="N5" s="18">
        <f>Test!D147</f>
        <v>0</v>
      </c>
      <c r="O5" s="18">
        <f>Test!E147</f>
        <v>0</v>
      </c>
      <c r="P5" s="18">
        <f>Test!F147</f>
        <v>0</v>
      </c>
      <c r="Q5" s="18">
        <f>Test!G147</f>
        <v>0</v>
      </c>
      <c r="R5" s="19">
        <f t="shared" si="2"/>
        <v>0</v>
      </c>
      <c r="S5" s="17">
        <f t="shared" si="3"/>
        <v>0</v>
      </c>
      <c r="T5" s="18">
        <f t="shared" si="4"/>
        <v>0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Reference!B148</f>
        <v>2536.7919999999999</v>
      </c>
      <c r="E6" s="23">
        <f>Reference!C148</f>
        <v>36.966299999999997</v>
      </c>
      <c r="F6" s="23">
        <f>Reference!D148</f>
        <v>45.148299999999999</v>
      </c>
      <c r="G6" s="23">
        <f>Reference!E148</f>
        <v>42.255899999999997</v>
      </c>
      <c r="H6" s="23">
        <f>Reference!F148</f>
        <v>34617.016000000003</v>
      </c>
      <c r="I6" s="23">
        <f>Reference!G148</f>
        <v>22.117000000000001</v>
      </c>
      <c r="J6" s="24">
        <f t="shared" si="1"/>
        <v>9.615837777777779</v>
      </c>
      <c r="L6" s="22">
        <f>Test!B148</f>
        <v>0</v>
      </c>
      <c r="M6" s="23">
        <f>Test!C148</f>
        <v>0</v>
      </c>
      <c r="N6" s="23">
        <f>Test!D148</f>
        <v>0</v>
      </c>
      <c r="O6" s="23">
        <f>Test!E148</f>
        <v>0</v>
      </c>
      <c r="P6" s="23">
        <f>Test!F148</f>
        <v>0</v>
      </c>
      <c r="Q6" s="23">
        <f>Test!G148</f>
        <v>0</v>
      </c>
      <c r="R6" s="24">
        <f t="shared" si="2"/>
        <v>0</v>
      </c>
      <c r="S6" s="17">
        <f t="shared" si="3"/>
        <v>0</v>
      </c>
      <c r="T6" s="18">
        <f t="shared" si="4"/>
        <v>0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Reference!B149</f>
        <v>94031.672000000006</v>
      </c>
      <c r="E7" s="13">
        <f>Reference!C149</f>
        <v>41.653799999999997</v>
      </c>
      <c r="F7" s="13">
        <f>Reference!D149</f>
        <v>36.4559</v>
      </c>
      <c r="G7" s="13">
        <f>Reference!E149</f>
        <v>37.464599999999997</v>
      </c>
      <c r="H7" s="13">
        <f>Reference!F149</f>
        <v>341355.31199999998</v>
      </c>
      <c r="I7" s="13">
        <f>Reference!G149</f>
        <v>31.094000000000001</v>
      </c>
      <c r="J7" s="14">
        <f t="shared" si="1"/>
        <v>94.820919999999987</v>
      </c>
      <c r="L7" s="12">
        <f>Test!B149</f>
        <v>0</v>
      </c>
      <c r="M7" s="13">
        <f>Test!C149</f>
        <v>0</v>
      </c>
      <c r="N7" s="13">
        <f>Test!D149</f>
        <v>0</v>
      </c>
      <c r="O7" s="13">
        <f>Test!E149</f>
        <v>0</v>
      </c>
      <c r="P7" s="13">
        <f>Test!F149</f>
        <v>0</v>
      </c>
      <c r="Q7" s="13">
        <f>Test!G149</f>
        <v>0</v>
      </c>
      <c r="R7" s="14">
        <f t="shared" si="2"/>
        <v>0</v>
      </c>
      <c r="S7" s="17">
        <f t="shared" si="3"/>
        <v>0</v>
      </c>
      <c r="T7" s="18">
        <f t="shared" si="4"/>
        <v>0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Reference!B150</f>
        <v>48126.192000000003</v>
      </c>
      <c r="E8" s="18">
        <f>Reference!C150</f>
        <v>38.878500000000003</v>
      </c>
      <c r="F8" s="18">
        <f>Reference!D150</f>
        <v>34.131399999999999</v>
      </c>
      <c r="G8" s="18">
        <f>Reference!E150</f>
        <v>35.474699999999999</v>
      </c>
      <c r="H8" s="18">
        <f>Reference!F150</f>
        <v>236570.266</v>
      </c>
      <c r="I8" s="18">
        <f>Reference!G150</f>
        <v>27.111999999999998</v>
      </c>
      <c r="J8" s="19">
        <f t="shared" si="1"/>
        <v>65.71396277777778</v>
      </c>
      <c r="L8" s="17">
        <f>Test!B150</f>
        <v>0</v>
      </c>
      <c r="M8" s="18">
        <f>Test!C150</f>
        <v>0</v>
      </c>
      <c r="N8" s="18">
        <f>Test!D150</f>
        <v>0</v>
      </c>
      <c r="O8" s="18">
        <f>Test!E150</f>
        <v>0</v>
      </c>
      <c r="P8" s="18">
        <f>Test!F150</f>
        <v>0</v>
      </c>
      <c r="Q8" s="18">
        <f>Test!G150</f>
        <v>0</v>
      </c>
      <c r="R8" s="19">
        <f t="shared" si="2"/>
        <v>0</v>
      </c>
      <c r="S8" s="17">
        <f t="shared" si="3"/>
        <v>0</v>
      </c>
      <c r="T8" s="18">
        <f t="shared" si="4"/>
        <v>0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Reference!B151</f>
        <v>22303.52</v>
      </c>
      <c r="E9" s="18">
        <f>Reference!C151</f>
        <v>35.779800000000002</v>
      </c>
      <c r="F9" s="18">
        <f>Reference!D151</f>
        <v>32.189500000000002</v>
      </c>
      <c r="G9" s="18">
        <f>Reference!E151</f>
        <v>33.763100000000001</v>
      </c>
      <c r="H9" s="18">
        <f>Reference!F151</f>
        <v>152237.84400000001</v>
      </c>
      <c r="I9" s="18">
        <f>Reference!G151</f>
        <v>23.925000000000001</v>
      </c>
      <c r="J9" s="19">
        <f t="shared" si="1"/>
        <v>42.288290000000003</v>
      </c>
      <c r="L9" s="17">
        <f>Test!B151</f>
        <v>0</v>
      </c>
      <c r="M9" s="18">
        <f>Test!C151</f>
        <v>0</v>
      </c>
      <c r="N9" s="18">
        <f>Test!D151</f>
        <v>0</v>
      </c>
      <c r="O9" s="18">
        <f>Test!E151</f>
        <v>0</v>
      </c>
      <c r="P9" s="18">
        <f>Test!F151</f>
        <v>0</v>
      </c>
      <c r="Q9" s="18">
        <f>Test!G151</f>
        <v>0</v>
      </c>
      <c r="R9" s="19">
        <f t="shared" si="2"/>
        <v>0</v>
      </c>
      <c r="S9" s="17">
        <f t="shared" si="3"/>
        <v>0</v>
      </c>
      <c r="T9" s="18">
        <f t="shared" si="4"/>
        <v>0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Reference!B152</f>
        <v>9341.8320000000003</v>
      </c>
      <c r="E10" s="23">
        <f>Reference!C152</f>
        <v>32.756</v>
      </c>
      <c r="F10" s="23">
        <f>Reference!D152</f>
        <v>30.5078</v>
      </c>
      <c r="G10" s="23">
        <f>Reference!E152</f>
        <v>32.278599999999997</v>
      </c>
      <c r="H10" s="23">
        <f>Reference!F152</f>
        <v>90626.991999999998</v>
      </c>
      <c r="I10" s="23">
        <f>Reference!G152</f>
        <v>21.748999999999999</v>
      </c>
      <c r="J10" s="24">
        <f t="shared" si="1"/>
        <v>25.174164444444443</v>
      </c>
      <c r="L10" s="22">
        <f>Test!B152</f>
        <v>0</v>
      </c>
      <c r="M10" s="23">
        <f>Test!C152</f>
        <v>0</v>
      </c>
      <c r="N10" s="23">
        <f>Test!D152</f>
        <v>0</v>
      </c>
      <c r="O10" s="23">
        <f>Test!E152</f>
        <v>0</v>
      </c>
      <c r="P10" s="23">
        <f>Test!F152</f>
        <v>0</v>
      </c>
      <c r="Q10" s="23">
        <f>Test!G152</f>
        <v>0</v>
      </c>
      <c r="R10" s="24">
        <f t="shared" si="2"/>
        <v>0</v>
      </c>
      <c r="S10" s="17">
        <f t="shared" si="3"/>
        <v>0</v>
      </c>
      <c r="T10" s="18">
        <f t="shared" si="4"/>
        <v>0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Reference!B153</f>
        <v>47203.328000000001</v>
      </c>
      <c r="E11" s="13">
        <f>Reference!C153</f>
        <v>38.897199999999998</v>
      </c>
      <c r="F11" s="13">
        <f>Reference!D153</f>
        <v>40.983899999999998</v>
      </c>
      <c r="G11" s="13">
        <f>Reference!E153</f>
        <v>41.249699999999997</v>
      </c>
      <c r="H11" s="13">
        <f>Reference!F153</f>
        <v>191637.984</v>
      </c>
      <c r="I11" s="13">
        <f>Reference!G153</f>
        <v>17.738</v>
      </c>
      <c r="J11" s="14">
        <f t="shared" si="1"/>
        <v>53.232773333333334</v>
      </c>
      <c r="L11" s="12">
        <f>Test!B153</f>
        <v>0</v>
      </c>
      <c r="M11" s="13">
        <f>Test!C153</f>
        <v>0</v>
      </c>
      <c r="N11" s="13">
        <f>Test!D153</f>
        <v>0</v>
      </c>
      <c r="O11" s="13">
        <f>Test!E153</f>
        <v>0</v>
      </c>
      <c r="P11" s="13">
        <f>Test!F153</f>
        <v>0</v>
      </c>
      <c r="Q11" s="13">
        <f>Test!G153</f>
        <v>0</v>
      </c>
      <c r="R11" s="14">
        <f t="shared" si="2"/>
        <v>0</v>
      </c>
      <c r="S11" s="17">
        <f t="shared" si="3"/>
        <v>0</v>
      </c>
      <c r="T11" s="18">
        <f t="shared" si="4"/>
        <v>0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Reference!B154</f>
        <v>23183.671999999999</v>
      </c>
      <c r="E12" s="18">
        <f>Reference!C154</f>
        <v>37.517400000000002</v>
      </c>
      <c r="F12" s="18">
        <f>Reference!D154</f>
        <v>38.488</v>
      </c>
      <c r="G12" s="18">
        <f>Reference!E154</f>
        <v>39.786099999999998</v>
      </c>
      <c r="H12" s="18">
        <f>Reference!F154</f>
        <v>116504.031</v>
      </c>
      <c r="I12" s="18">
        <f>Reference!G154</f>
        <v>15.787000000000001</v>
      </c>
      <c r="J12" s="19">
        <f t="shared" si="1"/>
        <v>32.362230833333335</v>
      </c>
      <c r="L12" s="17">
        <f>Test!B154</f>
        <v>0</v>
      </c>
      <c r="M12" s="18">
        <f>Test!C154</f>
        <v>0</v>
      </c>
      <c r="N12" s="18">
        <f>Test!D154</f>
        <v>0</v>
      </c>
      <c r="O12" s="18">
        <f>Test!E154</f>
        <v>0</v>
      </c>
      <c r="P12" s="18">
        <f>Test!F154</f>
        <v>0</v>
      </c>
      <c r="Q12" s="18">
        <f>Test!G154</f>
        <v>0</v>
      </c>
      <c r="R12" s="19">
        <f t="shared" si="2"/>
        <v>0</v>
      </c>
      <c r="S12" s="17">
        <f t="shared" si="3"/>
        <v>0</v>
      </c>
      <c r="T12" s="18">
        <f t="shared" si="4"/>
        <v>0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Reference!B155</f>
        <v>12047.6</v>
      </c>
      <c r="E13" s="18">
        <f>Reference!C155</f>
        <v>35.950699999999998</v>
      </c>
      <c r="F13" s="18">
        <f>Reference!D155</f>
        <v>36.332000000000001</v>
      </c>
      <c r="G13" s="18">
        <f>Reference!E155</f>
        <v>38.351700000000001</v>
      </c>
      <c r="H13" s="18">
        <f>Reference!F155</f>
        <v>74783.133000000002</v>
      </c>
      <c r="I13" s="18">
        <f>Reference!G155</f>
        <v>13.798</v>
      </c>
      <c r="J13" s="19">
        <f t="shared" si="1"/>
        <v>20.773092500000001</v>
      </c>
      <c r="L13" s="17">
        <f>Test!B155</f>
        <v>0</v>
      </c>
      <c r="M13" s="18">
        <f>Test!C155</f>
        <v>0</v>
      </c>
      <c r="N13" s="18">
        <f>Test!D155</f>
        <v>0</v>
      </c>
      <c r="O13" s="18">
        <f>Test!E155</f>
        <v>0</v>
      </c>
      <c r="P13" s="18">
        <f>Test!F155</f>
        <v>0</v>
      </c>
      <c r="Q13" s="18">
        <f>Test!G155</f>
        <v>0</v>
      </c>
      <c r="R13" s="19">
        <f t="shared" si="2"/>
        <v>0</v>
      </c>
      <c r="S13" s="17">
        <f t="shared" si="3"/>
        <v>0</v>
      </c>
      <c r="T13" s="18">
        <f t="shared" si="4"/>
        <v>0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Reference!B156</f>
        <v>5897.8320000000003</v>
      </c>
      <c r="E14" s="23">
        <f>Reference!C156</f>
        <v>34.028799999999997</v>
      </c>
      <c r="F14" s="23">
        <f>Reference!D156</f>
        <v>33.946399999999997</v>
      </c>
      <c r="G14" s="23">
        <f>Reference!E156</f>
        <v>36.667400000000001</v>
      </c>
      <c r="H14" s="23">
        <f>Reference!F156</f>
        <v>46182.277000000002</v>
      </c>
      <c r="I14" s="23">
        <f>Reference!G156</f>
        <v>13.002000000000001</v>
      </c>
      <c r="J14" s="24">
        <f t="shared" si="1"/>
        <v>12.828410277777778</v>
      </c>
      <c r="L14" s="22">
        <f>Test!B156</f>
        <v>0</v>
      </c>
      <c r="M14" s="23">
        <f>Test!C156</f>
        <v>0</v>
      </c>
      <c r="N14" s="23">
        <f>Test!D156</f>
        <v>0</v>
      </c>
      <c r="O14" s="23">
        <f>Test!E156</f>
        <v>0</v>
      </c>
      <c r="P14" s="23">
        <f>Test!F156</f>
        <v>0</v>
      </c>
      <c r="Q14" s="23">
        <f>Test!G156</f>
        <v>0</v>
      </c>
      <c r="R14" s="24">
        <f t="shared" si="2"/>
        <v>0</v>
      </c>
      <c r="S14" s="17">
        <f t="shared" si="3"/>
        <v>0</v>
      </c>
      <c r="T14" s="18">
        <f t="shared" si="4"/>
        <v>0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Reference!B157</f>
        <v>24606.304</v>
      </c>
      <c r="E15" s="13">
        <f>Reference!C157</f>
        <v>37.508000000000003</v>
      </c>
      <c r="F15" s="13">
        <f>Reference!D157</f>
        <v>44.779899999999998</v>
      </c>
      <c r="G15" s="13">
        <f>Reference!E157</f>
        <v>42.481099999999998</v>
      </c>
      <c r="H15" s="13">
        <f>Reference!F157</f>
        <v>278005.78100000002</v>
      </c>
      <c r="I15" s="13">
        <f>Reference!G157</f>
        <v>28.669</v>
      </c>
      <c r="J15" s="14">
        <f>H15/3600</f>
        <v>77.223828055555558</v>
      </c>
      <c r="L15" s="12">
        <f>Test!B157</f>
        <v>0</v>
      </c>
      <c r="M15" s="13">
        <f>Test!C157</f>
        <v>0</v>
      </c>
      <c r="N15" s="13">
        <f>Test!D157</f>
        <v>0</v>
      </c>
      <c r="O15" s="13">
        <f>Test!E157</f>
        <v>0</v>
      </c>
      <c r="P15" s="13">
        <f>Test!F157</f>
        <v>0</v>
      </c>
      <c r="Q15" s="13">
        <f>Test!G157</f>
        <v>0</v>
      </c>
      <c r="R15" s="14">
        <f>P15/3600</f>
        <v>0</v>
      </c>
      <c r="S15" s="17">
        <f t="shared" si="3"/>
        <v>0</v>
      </c>
      <c r="T15" s="18">
        <f t="shared" si="4"/>
        <v>0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Reference!B158</f>
        <v>10465.304</v>
      </c>
      <c r="E16" s="18">
        <f>Reference!C158</f>
        <v>36.868099999999998</v>
      </c>
      <c r="F16" s="18">
        <f>Reference!D158</f>
        <v>44.055399999999999</v>
      </c>
      <c r="G16" s="18">
        <f>Reference!E158</f>
        <v>41.691899999999997</v>
      </c>
      <c r="H16" s="18">
        <f>Reference!F158</f>
        <v>154480.78099999999</v>
      </c>
      <c r="I16" s="18">
        <f>Reference!G158</f>
        <v>24.963000000000001</v>
      </c>
      <c r="J16" s="19">
        <f t="shared" ref="J16:J26" si="5">H16/3600</f>
        <v>42.911328055555551</v>
      </c>
      <c r="L16" s="17">
        <f>Test!B158</f>
        <v>0</v>
      </c>
      <c r="M16" s="18">
        <f>Test!C158</f>
        <v>0</v>
      </c>
      <c r="N16" s="18">
        <f>Test!D158</f>
        <v>0</v>
      </c>
      <c r="O16" s="18">
        <f>Test!E158</f>
        <v>0</v>
      </c>
      <c r="P16" s="18">
        <f>Test!F158</f>
        <v>0</v>
      </c>
      <c r="Q16" s="18">
        <f>Test!G158</f>
        <v>0</v>
      </c>
      <c r="R16" s="19">
        <f t="shared" ref="R16:R26" si="6">P16/3600</f>
        <v>0</v>
      </c>
      <c r="S16" s="17">
        <f t="shared" si="3"/>
        <v>0</v>
      </c>
      <c r="T16" s="18">
        <f t="shared" si="4"/>
        <v>0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Reference!B159</f>
        <v>5243.44</v>
      </c>
      <c r="E17" s="18">
        <f>Reference!C159</f>
        <v>35.841299999999997</v>
      </c>
      <c r="F17" s="18">
        <f>Reference!D159</f>
        <v>42.995600000000003</v>
      </c>
      <c r="G17" s="18">
        <f>Reference!E159</f>
        <v>40.581299999999999</v>
      </c>
      <c r="H17" s="18">
        <f>Reference!F159</f>
        <v>96781.843999999997</v>
      </c>
      <c r="I17" s="18">
        <f>Reference!G159</f>
        <v>22.007999999999999</v>
      </c>
      <c r="J17" s="19">
        <f t="shared" si="5"/>
        <v>26.883845555555556</v>
      </c>
      <c r="L17" s="17">
        <f>Test!B159</f>
        <v>0</v>
      </c>
      <c r="M17" s="18">
        <f>Test!C159</f>
        <v>0</v>
      </c>
      <c r="N17" s="18">
        <f>Test!D159</f>
        <v>0</v>
      </c>
      <c r="O17" s="18">
        <f>Test!E159</f>
        <v>0</v>
      </c>
      <c r="P17" s="18">
        <f>Test!F159</f>
        <v>0</v>
      </c>
      <c r="Q17" s="18">
        <f>Test!G159</f>
        <v>0</v>
      </c>
      <c r="R17" s="19">
        <f t="shared" si="6"/>
        <v>0</v>
      </c>
      <c r="S17" s="17">
        <f t="shared" si="3"/>
        <v>0</v>
      </c>
      <c r="T17" s="18">
        <f t="shared" si="4"/>
        <v>0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Reference!B160</f>
        <v>2608.96</v>
      </c>
      <c r="E18" s="23">
        <f>Reference!C160</f>
        <v>34.251199999999997</v>
      </c>
      <c r="F18" s="23">
        <f>Reference!D160</f>
        <v>41.680199999999999</v>
      </c>
      <c r="G18" s="23">
        <f>Reference!E160</f>
        <v>39.404299999999999</v>
      </c>
      <c r="H18" s="23">
        <f>Reference!F160</f>
        <v>45367.891000000003</v>
      </c>
      <c r="I18" s="23">
        <f>Reference!G160</f>
        <v>16.922000000000001</v>
      </c>
      <c r="J18" s="24">
        <f t="shared" si="5"/>
        <v>12.602191944444446</v>
      </c>
      <c r="L18" s="22">
        <f>Test!B160</f>
        <v>0</v>
      </c>
      <c r="M18" s="23">
        <f>Test!C160</f>
        <v>0</v>
      </c>
      <c r="N18" s="23">
        <f>Test!D160</f>
        <v>0</v>
      </c>
      <c r="O18" s="23">
        <f>Test!E160</f>
        <v>0</v>
      </c>
      <c r="P18" s="23">
        <f>Test!F160</f>
        <v>0</v>
      </c>
      <c r="Q18" s="23">
        <f>Test!G160</f>
        <v>0</v>
      </c>
      <c r="R18" s="24">
        <f t="shared" si="6"/>
        <v>0</v>
      </c>
      <c r="S18" s="17">
        <f t="shared" si="3"/>
        <v>0</v>
      </c>
      <c r="T18" s="18">
        <f t="shared" si="4"/>
        <v>0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Reference!B161</f>
        <v>8306.8847999999998</v>
      </c>
      <c r="E19" s="13">
        <f>Reference!C161</f>
        <v>37.953699999999998</v>
      </c>
      <c r="F19" s="13">
        <f>Reference!D161</f>
        <v>39.5381</v>
      </c>
      <c r="G19" s="13">
        <f>Reference!E161</f>
        <v>42.5137</v>
      </c>
      <c r="H19" s="13">
        <f>Reference!F161</f>
        <v>314099</v>
      </c>
      <c r="I19" s="13">
        <f>Reference!G161</f>
        <v>25.837</v>
      </c>
      <c r="J19" s="14">
        <f t="shared" si="5"/>
        <v>87.249722222222218</v>
      </c>
      <c r="L19" s="12">
        <f>Test!B161</f>
        <v>0</v>
      </c>
      <c r="M19" s="13">
        <f>Test!C161</f>
        <v>0</v>
      </c>
      <c r="N19" s="13">
        <f>Test!D161</f>
        <v>0</v>
      </c>
      <c r="O19" s="13">
        <f>Test!E161</f>
        <v>0</v>
      </c>
      <c r="P19" s="13">
        <f>Test!F161</f>
        <v>0</v>
      </c>
      <c r="Q19" s="13">
        <f>Test!G161</f>
        <v>0</v>
      </c>
      <c r="R19" s="14">
        <f t="shared" si="6"/>
        <v>0</v>
      </c>
      <c r="S19" s="12">
        <f t="shared" si="3"/>
        <v>0</v>
      </c>
      <c r="T19" s="13">
        <f t="shared" si="4"/>
        <v>0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Reference!B162</f>
        <v>3932.9423999999999</v>
      </c>
      <c r="E20" s="18">
        <f>Reference!C162</f>
        <v>36.594999999999999</v>
      </c>
      <c r="F20" s="18">
        <f>Reference!D162</f>
        <v>38.8324</v>
      </c>
      <c r="G20" s="18">
        <f>Reference!E162</f>
        <v>41.302500000000002</v>
      </c>
      <c r="H20" s="18">
        <f>Reference!F162</f>
        <v>194834.03099999999</v>
      </c>
      <c r="I20" s="18">
        <f>Reference!G162</f>
        <v>22.431999999999999</v>
      </c>
      <c r="J20" s="19">
        <f t="shared" si="5"/>
        <v>54.120564166666661</v>
      </c>
      <c r="L20" s="17">
        <f>Test!B162</f>
        <v>0</v>
      </c>
      <c r="M20" s="18">
        <f>Test!C162</f>
        <v>0</v>
      </c>
      <c r="N20" s="18">
        <f>Test!D162</f>
        <v>0</v>
      </c>
      <c r="O20" s="18">
        <f>Test!E162</f>
        <v>0</v>
      </c>
      <c r="P20" s="18">
        <f>Test!F162</f>
        <v>0</v>
      </c>
      <c r="Q20" s="18">
        <f>Test!G162</f>
        <v>0</v>
      </c>
      <c r="R20" s="19">
        <f t="shared" si="6"/>
        <v>0</v>
      </c>
      <c r="S20" s="17">
        <f t="shared" si="3"/>
        <v>0</v>
      </c>
      <c r="T20" s="18">
        <f t="shared" si="4"/>
        <v>0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Reference!B163</f>
        <v>1930.2976000000001</v>
      </c>
      <c r="E21" s="18">
        <f>Reference!C163</f>
        <v>34.762999999999998</v>
      </c>
      <c r="F21" s="18">
        <f>Reference!D163</f>
        <v>37.929699999999997</v>
      </c>
      <c r="G21" s="18">
        <f>Reference!E163</f>
        <v>39.756300000000003</v>
      </c>
      <c r="H21" s="18">
        <f>Reference!F163</f>
        <v>119023.383</v>
      </c>
      <c r="I21" s="18">
        <f>Reference!G163</f>
        <v>19.600999999999999</v>
      </c>
      <c r="J21" s="19">
        <f t="shared" si="5"/>
        <v>33.062050833333331</v>
      </c>
      <c r="L21" s="17">
        <f>Test!B163</f>
        <v>0</v>
      </c>
      <c r="M21" s="18">
        <f>Test!C163</f>
        <v>0</v>
      </c>
      <c r="N21" s="18">
        <f>Test!D163</f>
        <v>0</v>
      </c>
      <c r="O21" s="18">
        <f>Test!E163</f>
        <v>0</v>
      </c>
      <c r="P21" s="18">
        <f>Test!F163</f>
        <v>0</v>
      </c>
      <c r="Q21" s="18">
        <f>Test!G163</f>
        <v>0</v>
      </c>
      <c r="R21" s="19">
        <f t="shared" si="6"/>
        <v>0</v>
      </c>
      <c r="S21" s="17">
        <f t="shared" si="3"/>
        <v>0</v>
      </c>
      <c r="T21" s="18">
        <f t="shared" si="4"/>
        <v>0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Reference!B164</f>
        <v>916.28</v>
      </c>
      <c r="E22" s="23">
        <f>Reference!C164</f>
        <v>32.4345</v>
      </c>
      <c r="F22" s="23">
        <f>Reference!D164</f>
        <v>36.843600000000002</v>
      </c>
      <c r="G22" s="23">
        <f>Reference!E164</f>
        <v>38.140999999999998</v>
      </c>
      <c r="H22" s="23">
        <f>Reference!F164</f>
        <v>70945.281000000003</v>
      </c>
      <c r="I22" s="23">
        <f>Reference!G164</f>
        <v>16.548999999999999</v>
      </c>
      <c r="J22" s="24">
        <f t="shared" si="5"/>
        <v>19.707022500000001</v>
      </c>
      <c r="L22" s="22">
        <f>Test!B164</f>
        <v>0</v>
      </c>
      <c r="M22" s="23">
        <f>Test!C164</f>
        <v>0</v>
      </c>
      <c r="N22" s="23">
        <f>Test!D164</f>
        <v>0</v>
      </c>
      <c r="O22" s="23">
        <f>Test!E164</f>
        <v>0</v>
      </c>
      <c r="P22" s="23">
        <f>Test!F164</f>
        <v>0</v>
      </c>
      <c r="Q22" s="23">
        <f>Test!G164</f>
        <v>0</v>
      </c>
      <c r="R22" s="24">
        <f t="shared" si="6"/>
        <v>0</v>
      </c>
      <c r="S22" s="17">
        <f t="shared" si="3"/>
        <v>0</v>
      </c>
      <c r="T22" s="18">
        <f t="shared" si="4"/>
        <v>0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Reference!B165</f>
        <v>9553.9632000000001</v>
      </c>
      <c r="E23" s="13">
        <f>Reference!C165</f>
        <v>38.691000000000003</v>
      </c>
      <c r="F23" s="13">
        <f>Reference!D165</f>
        <v>43.492100000000001</v>
      </c>
      <c r="G23" s="13">
        <f>Reference!E165</f>
        <v>44.343400000000003</v>
      </c>
      <c r="H23" s="13">
        <f>Reference!F165</f>
        <v>338231.03100000002</v>
      </c>
      <c r="I23" s="13">
        <f>Reference!G165</f>
        <v>34.161999999999999</v>
      </c>
      <c r="J23" s="14">
        <f t="shared" si="5"/>
        <v>93.953064166666678</v>
      </c>
      <c r="L23" s="12">
        <f>Test!B165</f>
        <v>0</v>
      </c>
      <c r="M23" s="13">
        <f>Test!C165</f>
        <v>0</v>
      </c>
      <c r="N23" s="13">
        <f>Test!D165</f>
        <v>0</v>
      </c>
      <c r="O23" s="13">
        <f>Test!E165</f>
        <v>0</v>
      </c>
      <c r="P23" s="13">
        <f>Test!F165</f>
        <v>0</v>
      </c>
      <c r="Q23" s="13">
        <f>Test!G165</f>
        <v>0</v>
      </c>
      <c r="R23" s="14">
        <f t="shared" si="6"/>
        <v>0</v>
      </c>
      <c r="S23" s="17">
        <f t="shared" si="3"/>
        <v>0</v>
      </c>
      <c r="T23" s="18">
        <f t="shared" si="4"/>
        <v>0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Reference!B166</f>
        <v>4892.6607999999997</v>
      </c>
      <c r="E24" s="18">
        <f>Reference!C166</f>
        <v>37.454099999999997</v>
      </c>
      <c r="F24" s="18">
        <f>Reference!D166</f>
        <v>42.4893</v>
      </c>
      <c r="G24" s="18">
        <f>Reference!E166</f>
        <v>42.8354</v>
      </c>
      <c r="H24" s="18">
        <f>Reference!F166</f>
        <v>210777.766</v>
      </c>
      <c r="I24" s="18">
        <f>Reference!G166</f>
        <v>30.666</v>
      </c>
      <c r="J24" s="19">
        <f t="shared" si="5"/>
        <v>58.549379444444448</v>
      </c>
      <c r="L24" s="17">
        <f>Test!B166</f>
        <v>0</v>
      </c>
      <c r="M24" s="18">
        <f>Test!C166</f>
        <v>0</v>
      </c>
      <c r="N24" s="18">
        <f>Test!D166</f>
        <v>0</v>
      </c>
      <c r="O24" s="18">
        <f>Test!E166</f>
        <v>0</v>
      </c>
      <c r="P24" s="18">
        <f>Test!F166</f>
        <v>0</v>
      </c>
      <c r="Q24" s="18">
        <f>Test!G166</f>
        <v>0</v>
      </c>
      <c r="R24" s="19">
        <f t="shared" si="6"/>
        <v>0</v>
      </c>
      <c r="S24" s="17">
        <f t="shared" si="3"/>
        <v>0</v>
      </c>
      <c r="T24" s="18">
        <f t="shared" si="4"/>
        <v>0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Reference!B167</f>
        <v>2490.0272</v>
      </c>
      <c r="E25" s="18">
        <f>Reference!C167</f>
        <v>35.769300000000001</v>
      </c>
      <c r="F25" s="18">
        <f>Reference!D167</f>
        <v>41.162100000000002</v>
      </c>
      <c r="G25" s="18">
        <f>Reference!E167</f>
        <v>41.045499999999997</v>
      </c>
      <c r="H25" s="18">
        <f>Reference!F167</f>
        <v>126673.133</v>
      </c>
      <c r="I25" s="18">
        <f>Reference!G167</f>
        <v>25.768999999999998</v>
      </c>
      <c r="J25" s="19">
        <f t="shared" si="5"/>
        <v>35.186981388888888</v>
      </c>
      <c r="L25" s="17">
        <f>Test!B167</f>
        <v>0</v>
      </c>
      <c r="M25" s="18">
        <f>Test!C167</f>
        <v>0</v>
      </c>
      <c r="N25" s="18">
        <f>Test!D167</f>
        <v>0</v>
      </c>
      <c r="O25" s="18">
        <f>Test!E167</f>
        <v>0</v>
      </c>
      <c r="P25" s="18">
        <f>Test!F167</f>
        <v>0</v>
      </c>
      <c r="Q25" s="18">
        <f>Test!G167</f>
        <v>0</v>
      </c>
      <c r="R25" s="19">
        <f t="shared" si="6"/>
        <v>0</v>
      </c>
      <c r="S25" s="17">
        <f t="shared" si="3"/>
        <v>0</v>
      </c>
      <c r="T25" s="18">
        <f t="shared" si="4"/>
        <v>0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Reference!B168</f>
        <v>1235.2303999999999</v>
      </c>
      <c r="E26" s="23">
        <f>Reference!C168</f>
        <v>33.690100000000001</v>
      </c>
      <c r="F26" s="23">
        <f>Reference!D168</f>
        <v>39.776000000000003</v>
      </c>
      <c r="G26" s="23">
        <f>Reference!E168</f>
        <v>39.191000000000003</v>
      </c>
      <c r="H26" s="23">
        <f>Reference!F168</f>
        <v>74654.616999999998</v>
      </c>
      <c r="I26" s="23">
        <f>Reference!G168</f>
        <v>22.791</v>
      </c>
      <c r="J26" s="24">
        <f t="shared" si="5"/>
        <v>20.737393611111109</v>
      </c>
      <c r="L26" s="22">
        <f>Test!B168</f>
        <v>0</v>
      </c>
      <c r="M26" s="23">
        <f>Test!C168</f>
        <v>0</v>
      </c>
      <c r="N26" s="23">
        <f>Test!D168</f>
        <v>0</v>
      </c>
      <c r="O26" s="23">
        <f>Test!E168</f>
        <v>0</v>
      </c>
      <c r="P26" s="23">
        <f>Test!F168</f>
        <v>0</v>
      </c>
      <c r="Q26" s="23">
        <f>Test!G168</f>
        <v>0</v>
      </c>
      <c r="R26" s="24">
        <f t="shared" si="6"/>
        <v>0</v>
      </c>
      <c r="S26" s="17">
        <f t="shared" si="3"/>
        <v>0</v>
      </c>
      <c r="T26" s="18">
        <f t="shared" si="4"/>
        <v>0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Reference!B169</f>
        <v>6558.5151999999998</v>
      </c>
      <c r="E27" s="13">
        <f>Reference!C169</f>
        <v>39.782499999999999</v>
      </c>
      <c r="F27" s="13">
        <f>Reference!D169</f>
        <v>43.434399999999997</v>
      </c>
      <c r="G27" s="13">
        <f>Reference!E169</f>
        <v>44.276600000000002</v>
      </c>
      <c r="H27" s="13">
        <f>Reference!F169</f>
        <v>301845.18800000002</v>
      </c>
      <c r="I27" s="13">
        <f>Reference!G169</f>
        <v>34.832000000000001</v>
      </c>
      <c r="J27" s="14">
        <f>H27/3600</f>
        <v>83.845885555555569</v>
      </c>
      <c r="L27" s="12">
        <f>Test!B169</f>
        <v>0</v>
      </c>
      <c r="M27" s="13">
        <f>Test!C169</f>
        <v>0</v>
      </c>
      <c r="N27" s="13">
        <f>Test!D169</f>
        <v>0</v>
      </c>
      <c r="O27" s="13">
        <f>Test!E169</f>
        <v>0</v>
      </c>
      <c r="P27" s="13">
        <f>Test!F169</f>
        <v>0</v>
      </c>
      <c r="Q27" s="13">
        <f>Test!G169</f>
        <v>0</v>
      </c>
      <c r="R27" s="14">
        <f>P27/3600</f>
        <v>0</v>
      </c>
      <c r="S27" s="17">
        <f t="shared" ref="S27:T46" si="7">P27/H27</f>
        <v>0</v>
      </c>
      <c r="T27" s="18">
        <f t="shared" si="7"/>
        <v>0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Reference!B170</f>
        <v>3129.9807999999998</v>
      </c>
      <c r="E28" s="18">
        <f>Reference!C170</f>
        <v>38.4863</v>
      </c>
      <c r="F28" s="18">
        <f>Reference!D170</f>
        <v>42.5122</v>
      </c>
      <c r="G28" s="18">
        <f>Reference!E170</f>
        <v>43.330800000000004</v>
      </c>
      <c r="H28" s="18">
        <f>Reference!F170</f>
        <v>179445.875</v>
      </c>
      <c r="I28" s="18">
        <f>Reference!G170</f>
        <v>29.247</v>
      </c>
      <c r="J28" s="19">
        <f t="shared" ref="J28:J46" si="8">H28/3600</f>
        <v>49.846076388888889</v>
      </c>
      <c r="L28" s="17">
        <f>Test!B170</f>
        <v>0</v>
      </c>
      <c r="M28" s="18">
        <f>Test!C170</f>
        <v>0</v>
      </c>
      <c r="N28" s="18">
        <f>Test!D170</f>
        <v>0</v>
      </c>
      <c r="O28" s="18">
        <f>Test!E170</f>
        <v>0</v>
      </c>
      <c r="P28" s="18">
        <f>Test!F170</f>
        <v>0</v>
      </c>
      <c r="Q28" s="18">
        <f>Test!G170</f>
        <v>0</v>
      </c>
      <c r="R28" s="19">
        <f t="shared" ref="R28:R46" si="9">P28/3600</f>
        <v>0</v>
      </c>
      <c r="S28" s="17">
        <f t="shared" si="7"/>
        <v>0</v>
      </c>
      <c r="T28" s="18">
        <f t="shared" si="7"/>
        <v>0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Reference!B171</f>
        <v>1510.8463999999999</v>
      </c>
      <c r="E29" s="18">
        <f>Reference!C171</f>
        <v>36.674300000000002</v>
      </c>
      <c r="F29" s="18">
        <f>Reference!D171</f>
        <v>41.284599999999998</v>
      </c>
      <c r="G29" s="18">
        <f>Reference!E171</f>
        <v>41.985199999999999</v>
      </c>
      <c r="H29" s="18">
        <f>Reference!F171</f>
        <v>106355.67200000001</v>
      </c>
      <c r="I29" s="18">
        <f>Reference!G171</f>
        <v>26.853000000000002</v>
      </c>
      <c r="J29" s="19">
        <f t="shared" si="8"/>
        <v>29.543242222222222</v>
      </c>
      <c r="L29" s="17">
        <f>Test!B171</f>
        <v>0</v>
      </c>
      <c r="M29" s="18">
        <f>Test!C171</f>
        <v>0</v>
      </c>
      <c r="N29" s="18">
        <f>Test!D171</f>
        <v>0</v>
      </c>
      <c r="O29" s="18">
        <f>Test!E171</f>
        <v>0</v>
      </c>
      <c r="P29" s="18">
        <f>Test!F171</f>
        <v>0</v>
      </c>
      <c r="Q29" s="18">
        <f>Test!G171</f>
        <v>0</v>
      </c>
      <c r="R29" s="19">
        <f t="shared" si="9"/>
        <v>0</v>
      </c>
      <c r="S29" s="17">
        <f t="shared" si="7"/>
        <v>0</v>
      </c>
      <c r="T29" s="18">
        <f t="shared" si="7"/>
        <v>0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Reference!B172</f>
        <v>706.14880000000005</v>
      </c>
      <c r="E30" s="23">
        <f>Reference!C172</f>
        <v>34.387099999999997</v>
      </c>
      <c r="F30" s="23">
        <f>Reference!D172</f>
        <v>40.164299999999997</v>
      </c>
      <c r="G30" s="23">
        <f>Reference!E172</f>
        <v>40.674500000000002</v>
      </c>
      <c r="H30" s="23">
        <f>Reference!F172</f>
        <v>57738.906000000003</v>
      </c>
      <c r="I30" s="23">
        <f>Reference!G172</f>
        <v>23.132000000000001</v>
      </c>
      <c r="J30" s="24">
        <f t="shared" si="8"/>
        <v>16.038585000000001</v>
      </c>
      <c r="L30" s="22">
        <f>Test!B172</f>
        <v>0</v>
      </c>
      <c r="M30" s="23">
        <f>Test!C172</f>
        <v>0</v>
      </c>
      <c r="N30" s="23">
        <f>Test!D172</f>
        <v>0</v>
      </c>
      <c r="O30" s="23">
        <f>Test!E172</f>
        <v>0</v>
      </c>
      <c r="P30" s="23">
        <f>Test!F172</f>
        <v>0</v>
      </c>
      <c r="Q30" s="23">
        <f>Test!G172</f>
        <v>0</v>
      </c>
      <c r="R30" s="24">
        <f t="shared" si="9"/>
        <v>0</v>
      </c>
      <c r="S30" s="17">
        <f t="shared" si="7"/>
        <v>0</v>
      </c>
      <c r="T30" s="18">
        <f t="shared" si="7"/>
        <v>0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Reference!B173</f>
        <v>6961.7168000000001</v>
      </c>
      <c r="E31" s="13">
        <f>Reference!C173</f>
        <v>43.303800000000003</v>
      </c>
      <c r="F31" s="13">
        <f>Reference!D173</f>
        <v>46.0627</v>
      </c>
      <c r="G31" s="13">
        <f>Reference!E173</f>
        <v>46.789400000000001</v>
      </c>
      <c r="H31" s="13">
        <f>Reference!F173</f>
        <v>249708.32800000001</v>
      </c>
      <c r="I31" s="13">
        <f>Reference!G173</f>
        <v>36.508000000000003</v>
      </c>
      <c r="J31" s="14">
        <f t="shared" si="8"/>
        <v>69.363424444444448</v>
      </c>
      <c r="L31" s="12">
        <f>Test!B173</f>
        <v>0</v>
      </c>
      <c r="M31" s="13">
        <f>Test!C173</f>
        <v>0</v>
      </c>
      <c r="N31" s="13">
        <f>Test!D173</f>
        <v>0</v>
      </c>
      <c r="O31" s="13">
        <f>Test!E173</f>
        <v>0</v>
      </c>
      <c r="P31" s="13">
        <f>Test!F173</f>
        <v>0</v>
      </c>
      <c r="Q31" s="13">
        <f>Test!G173</f>
        <v>0</v>
      </c>
      <c r="R31" s="14">
        <f t="shared" si="9"/>
        <v>0</v>
      </c>
      <c r="S31" s="17">
        <f t="shared" si="7"/>
        <v>0</v>
      </c>
      <c r="T31" s="18">
        <f t="shared" si="7"/>
        <v>0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Reference!B174</f>
        <v>4246.4063999999998</v>
      </c>
      <c r="E32" s="18">
        <f>Reference!C174</f>
        <v>40.991500000000002</v>
      </c>
      <c r="F32" s="18">
        <f>Reference!D174</f>
        <v>44.593800000000002</v>
      </c>
      <c r="G32" s="18">
        <f>Reference!E174</f>
        <v>45.139400000000002</v>
      </c>
      <c r="H32" s="18">
        <f>Reference!F174</f>
        <v>173590.29699999999</v>
      </c>
      <c r="I32" s="18">
        <f>Reference!G174</f>
        <v>32.287999999999997</v>
      </c>
      <c r="J32" s="19">
        <f t="shared" si="8"/>
        <v>48.219526944444439</v>
      </c>
      <c r="L32" s="17">
        <f>Test!B174</f>
        <v>0</v>
      </c>
      <c r="M32" s="18">
        <f>Test!C174</f>
        <v>0</v>
      </c>
      <c r="N32" s="18">
        <f>Test!D174</f>
        <v>0</v>
      </c>
      <c r="O32" s="18">
        <f>Test!E174</f>
        <v>0</v>
      </c>
      <c r="P32" s="18">
        <f>Test!F174</f>
        <v>0</v>
      </c>
      <c r="Q32" s="18">
        <f>Test!G174</f>
        <v>0</v>
      </c>
      <c r="R32" s="19">
        <f t="shared" si="9"/>
        <v>0</v>
      </c>
      <c r="S32" s="17">
        <f t="shared" si="7"/>
        <v>0</v>
      </c>
      <c r="T32" s="18">
        <f t="shared" si="7"/>
        <v>0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Reference!B175</f>
        <v>2348.6415999999999</v>
      </c>
      <c r="E33" s="18">
        <f>Reference!C175</f>
        <v>38.212400000000002</v>
      </c>
      <c r="F33" s="18">
        <f>Reference!D175</f>
        <v>42.953299999999999</v>
      </c>
      <c r="G33" s="18">
        <f>Reference!E175</f>
        <v>43.316299999999998</v>
      </c>
      <c r="H33" s="18">
        <f>Reference!F175</f>
        <v>118297.641</v>
      </c>
      <c r="I33" s="18">
        <f>Reference!G175</f>
        <v>29.831</v>
      </c>
      <c r="J33" s="19">
        <f t="shared" si="8"/>
        <v>32.860455833333333</v>
      </c>
      <c r="L33" s="17">
        <f>Test!B175</f>
        <v>0</v>
      </c>
      <c r="M33" s="18">
        <f>Test!C175</f>
        <v>0</v>
      </c>
      <c r="N33" s="18">
        <f>Test!D175</f>
        <v>0</v>
      </c>
      <c r="O33" s="18">
        <f>Test!E175</f>
        <v>0</v>
      </c>
      <c r="P33" s="18">
        <f>Test!F175</f>
        <v>0</v>
      </c>
      <c r="Q33" s="18">
        <f>Test!G175</f>
        <v>0</v>
      </c>
      <c r="R33" s="19">
        <f t="shared" si="9"/>
        <v>0</v>
      </c>
      <c r="S33" s="17">
        <f t="shared" si="7"/>
        <v>0</v>
      </c>
      <c r="T33" s="18">
        <f t="shared" si="7"/>
        <v>0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Reference!B176</f>
        <v>1221.8240000000001</v>
      </c>
      <c r="E34" s="23">
        <f>Reference!C176</f>
        <v>35.276800000000001</v>
      </c>
      <c r="F34" s="23">
        <f>Reference!D176</f>
        <v>41.513199999999998</v>
      </c>
      <c r="G34" s="23">
        <f>Reference!E176</f>
        <v>41.5595</v>
      </c>
      <c r="H34" s="23">
        <f>Reference!F176</f>
        <v>70044.641000000003</v>
      </c>
      <c r="I34" s="23">
        <f>Reference!G176</f>
        <v>24.436</v>
      </c>
      <c r="J34" s="24">
        <f t="shared" si="8"/>
        <v>19.456844722222222</v>
      </c>
      <c r="L34" s="22">
        <f>Test!B176</f>
        <v>0</v>
      </c>
      <c r="M34" s="23">
        <f>Test!C176</f>
        <v>0</v>
      </c>
      <c r="N34" s="23">
        <f>Test!D176</f>
        <v>0</v>
      </c>
      <c r="O34" s="23">
        <f>Test!E176</f>
        <v>0</v>
      </c>
      <c r="P34" s="23">
        <f>Test!F176</f>
        <v>0</v>
      </c>
      <c r="Q34" s="23">
        <f>Test!G176</f>
        <v>0</v>
      </c>
      <c r="R34" s="24">
        <f t="shared" si="9"/>
        <v>0</v>
      </c>
      <c r="S34" s="17">
        <f t="shared" si="7"/>
        <v>0</v>
      </c>
      <c r="T34" s="18">
        <f t="shared" si="7"/>
        <v>0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Reference!B177</f>
        <v>4877.4416000000001</v>
      </c>
      <c r="E35" s="13">
        <f>Reference!C177</f>
        <v>38.371699999999997</v>
      </c>
      <c r="F35" s="13">
        <f>Reference!D177</f>
        <v>44.963200000000001</v>
      </c>
      <c r="G35" s="13">
        <f>Reference!E177</f>
        <v>45.283200000000001</v>
      </c>
      <c r="H35" s="13">
        <f>Reference!F177</f>
        <v>170077.484</v>
      </c>
      <c r="I35" s="13">
        <f>Reference!G177</f>
        <v>16.349</v>
      </c>
      <c r="J35" s="14">
        <f t="shared" si="8"/>
        <v>47.243745555555556</v>
      </c>
      <c r="L35" s="12">
        <f>Test!B177</f>
        <v>0</v>
      </c>
      <c r="M35" s="13">
        <f>Test!C177</f>
        <v>0</v>
      </c>
      <c r="N35" s="13">
        <f>Test!D177</f>
        <v>0</v>
      </c>
      <c r="O35" s="13">
        <f>Test!E177</f>
        <v>0</v>
      </c>
      <c r="P35" s="13">
        <f>Test!F177</f>
        <v>0</v>
      </c>
      <c r="Q35" s="13">
        <f>Test!G177</f>
        <v>0</v>
      </c>
      <c r="R35" s="14">
        <f t="shared" si="9"/>
        <v>0</v>
      </c>
      <c r="S35" s="12">
        <f t="shared" si="7"/>
        <v>0</v>
      </c>
      <c r="T35" s="13">
        <f t="shared" si="7"/>
        <v>0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Reference!B178</f>
        <v>1696.4816000000001</v>
      </c>
      <c r="E36" s="18">
        <f>Reference!C178</f>
        <v>36.376600000000003</v>
      </c>
      <c r="F36" s="18">
        <f>Reference!D178</f>
        <v>43.778300000000002</v>
      </c>
      <c r="G36" s="18">
        <f>Reference!E178</f>
        <v>44.088200000000001</v>
      </c>
      <c r="H36" s="18">
        <f>Reference!F178</f>
        <v>87498.125</v>
      </c>
      <c r="I36" s="18">
        <f>Reference!G178</f>
        <v>12.141</v>
      </c>
      <c r="J36" s="19">
        <f t="shared" si="8"/>
        <v>24.305034722222221</v>
      </c>
      <c r="L36" s="17">
        <f>Test!B178</f>
        <v>0</v>
      </c>
      <c r="M36" s="18">
        <f>Test!C178</f>
        <v>0</v>
      </c>
      <c r="N36" s="18">
        <f>Test!D178</f>
        <v>0</v>
      </c>
      <c r="O36" s="18">
        <f>Test!E178</f>
        <v>0</v>
      </c>
      <c r="P36" s="18">
        <f>Test!F178</f>
        <v>0</v>
      </c>
      <c r="Q36" s="18">
        <f>Test!G178</f>
        <v>0</v>
      </c>
      <c r="R36" s="19">
        <f t="shared" si="9"/>
        <v>0</v>
      </c>
      <c r="S36" s="17">
        <f t="shared" si="7"/>
        <v>0</v>
      </c>
      <c r="T36" s="18">
        <f t="shared" si="7"/>
        <v>0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Reference!B179</f>
        <v>664.68320000000006</v>
      </c>
      <c r="E37" s="18">
        <f>Reference!C179</f>
        <v>33.9328</v>
      </c>
      <c r="F37" s="18">
        <f>Reference!D179</f>
        <v>42.195</v>
      </c>
      <c r="G37" s="18">
        <f>Reference!E179</f>
        <v>42.531700000000001</v>
      </c>
      <c r="H37" s="18">
        <f>Reference!F179</f>
        <v>50611.667999999998</v>
      </c>
      <c r="I37" s="18">
        <f>Reference!G179</f>
        <v>8.5289999999999999</v>
      </c>
      <c r="J37" s="19">
        <f t="shared" si="8"/>
        <v>14.058796666666666</v>
      </c>
      <c r="L37" s="17">
        <f>Test!B179</f>
        <v>0</v>
      </c>
      <c r="M37" s="18">
        <f>Test!C179</f>
        <v>0</v>
      </c>
      <c r="N37" s="18">
        <f>Test!D179</f>
        <v>0</v>
      </c>
      <c r="O37" s="18">
        <f>Test!E179</f>
        <v>0</v>
      </c>
      <c r="P37" s="18">
        <f>Test!F179</f>
        <v>0</v>
      </c>
      <c r="Q37" s="18">
        <f>Test!G179</f>
        <v>0</v>
      </c>
      <c r="R37" s="19">
        <f t="shared" si="9"/>
        <v>0</v>
      </c>
      <c r="S37" s="17">
        <f t="shared" si="7"/>
        <v>0</v>
      </c>
      <c r="T37" s="18">
        <f t="shared" si="7"/>
        <v>0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Reference!B180</f>
        <v>276.11040000000003</v>
      </c>
      <c r="E38" s="23">
        <f>Reference!C180</f>
        <v>30.9069</v>
      </c>
      <c r="F38" s="23">
        <f>Reference!D180</f>
        <v>40.854100000000003</v>
      </c>
      <c r="G38" s="23">
        <f>Reference!E180</f>
        <v>41.406500000000001</v>
      </c>
      <c r="H38" s="23">
        <f>Reference!F180</f>
        <v>30947.971000000001</v>
      </c>
      <c r="I38" s="23">
        <f>Reference!G180</f>
        <v>7.3319999999999999</v>
      </c>
      <c r="J38" s="24">
        <f t="shared" si="8"/>
        <v>8.5966586111111116</v>
      </c>
      <c r="L38" s="22">
        <f>Test!B180</f>
        <v>0</v>
      </c>
      <c r="M38" s="23">
        <f>Test!C180</f>
        <v>0</v>
      </c>
      <c r="N38" s="23">
        <f>Test!D180</f>
        <v>0</v>
      </c>
      <c r="O38" s="23">
        <f>Test!E180</f>
        <v>0</v>
      </c>
      <c r="P38" s="23">
        <f>Test!F180</f>
        <v>0</v>
      </c>
      <c r="Q38" s="23">
        <f>Test!G180</f>
        <v>0</v>
      </c>
      <c r="R38" s="24">
        <f t="shared" si="9"/>
        <v>0</v>
      </c>
      <c r="S38" s="17">
        <f t="shared" si="7"/>
        <v>0</v>
      </c>
      <c r="T38" s="18">
        <f t="shared" si="7"/>
        <v>0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Reference!B181</f>
        <v>3934.0383999999999</v>
      </c>
      <c r="E39" s="13">
        <f>Reference!C181</f>
        <v>40.476199999999999</v>
      </c>
      <c r="F39" s="13">
        <f>Reference!D181</f>
        <v>45.164099999999998</v>
      </c>
      <c r="G39" s="13">
        <f>Reference!E181</f>
        <v>45.915999999999997</v>
      </c>
      <c r="H39" s="13">
        <f>Reference!F181</f>
        <v>148494.32800000001</v>
      </c>
      <c r="I39" s="13">
        <f>Reference!G181</f>
        <v>17.454999999999998</v>
      </c>
      <c r="J39" s="14">
        <f t="shared" si="8"/>
        <v>41.248424444444446</v>
      </c>
      <c r="L39" s="12">
        <f>Test!B181</f>
        <v>0</v>
      </c>
      <c r="M39" s="13">
        <f>Test!C181</f>
        <v>0</v>
      </c>
      <c r="N39" s="13">
        <f>Test!D181</f>
        <v>0</v>
      </c>
      <c r="O39" s="13">
        <f>Test!E181</f>
        <v>0</v>
      </c>
      <c r="P39" s="13">
        <f>Test!F181</f>
        <v>0</v>
      </c>
      <c r="Q39" s="13">
        <f>Test!G181</f>
        <v>0</v>
      </c>
      <c r="R39" s="14">
        <f t="shared" si="9"/>
        <v>0</v>
      </c>
      <c r="S39" s="17">
        <f t="shared" si="7"/>
        <v>0</v>
      </c>
      <c r="T39" s="18">
        <f t="shared" si="7"/>
        <v>0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Reference!B182</f>
        <v>1806.5424</v>
      </c>
      <c r="E40" s="18">
        <f>Reference!C182</f>
        <v>38.8521</v>
      </c>
      <c r="F40" s="18">
        <f>Reference!D182</f>
        <v>44.323300000000003</v>
      </c>
      <c r="G40" s="18">
        <f>Reference!E182</f>
        <v>44.3748</v>
      </c>
      <c r="H40" s="18">
        <f>Reference!F182</f>
        <v>86966.968999999997</v>
      </c>
      <c r="I40" s="18">
        <f>Reference!G182</f>
        <v>15.17</v>
      </c>
      <c r="J40" s="19">
        <f t="shared" si="8"/>
        <v>24.157491388888889</v>
      </c>
      <c r="L40" s="17">
        <f>Test!B182</f>
        <v>0</v>
      </c>
      <c r="M40" s="18">
        <f>Test!C182</f>
        <v>0</v>
      </c>
      <c r="N40" s="18">
        <f>Test!D182</f>
        <v>0</v>
      </c>
      <c r="O40" s="18">
        <f>Test!E182</f>
        <v>0</v>
      </c>
      <c r="P40" s="18">
        <f>Test!F182</f>
        <v>0</v>
      </c>
      <c r="Q40" s="18">
        <f>Test!G182</f>
        <v>0</v>
      </c>
      <c r="R40" s="19">
        <f t="shared" si="9"/>
        <v>0</v>
      </c>
      <c r="S40" s="17">
        <f t="shared" si="7"/>
        <v>0</v>
      </c>
      <c r="T40" s="18">
        <f t="shared" si="7"/>
        <v>0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Reference!B183</f>
        <v>864.57439999999997</v>
      </c>
      <c r="E41" s="18">
        <f>Reference!C183</f>
        <v>36.905799999999999</v>
      </c>
      <c r="F41" s="18">
        <f>Reference!D183</f>
        <v>43.254899999999999</v>
      </c>
      <c r="G41" s="18">
        <f>Reference!E183</f>
        <v>42.525700000000001</v>
      </c>
      <c r="H41" s="18">
        <f>Reference!F183</f>
        <v>49386.745999999999</v>
      </c>
      <c r="I41" s="18">
        <f>Reference!G183</f>
        <v>11.217000000000001</v>
      </c>
      <c r="J41" s="19">
        <f t="shared" si="8"/>
        <v>13.718540555555556</v>
      </c>
      <c r="L41" s="17">
        <f>Test!B183</f>
        <v>0</v>
      </c>
      <c r="M41" s="18">
        <f>Test!C183</f>
        <v>0</v>
      </c>
      <c r="N41" s="18">
        <f>Test!D183</f>
        <v>0</v>
      </c>
      <c r="O41" s="18">
        <f>Test!E183</f>
        <v>0</v>
      </c>
      <c r="P41" s="18">
        <f>Test!F183</f>
        <v>0</v>
      </c>
      <c r="Q41" s="18">
        <f>Test!G183</f>
        <v>0</v>
      </c>
      <c r="R41" s="19">
        <f t="shared" si="9"/>
        <v>0</v>
      </c>
      <c r="S41" s="17">
        <f t="shared" si="7"/>
        <v>0</v>
      </c>
      <c r="T41" s="18">
        <f t="shared" si="7"/>
        <v>0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Reference!B184</f>
        <v>404.94400000000002</v>
      </c>
      <c r="E42" s="23">
        <f>Reference!C184</f>
        <v>34.697800000000001</v>
      </c>
      <c r="F42" s="23">
        <f>Reference!D184</f>
        <v>42.001600000000003</v>
      </c>
      <c r="G42" s="23">
        <f>Reference!E184</f>
        <v>40.640999999999998</v>
      </c>
      <c r="H42" s="23">
        <f>Reference!F184</f>
        <v>27099.146000000001</v>
      </c>
      <c r="I42" s="23">
        <f>Reference!G184</f>
        <v>9.0640000000000001</v>
      </c>
      <c r="J42" s="24">
        <f t="shared" si="8"/>
        <v>7.5275405555555555</v>
      </c>
      <c r="L42" s="22">
        <f>Test!B184</f>
        <v>0</v>
      </c>
      <c r="M42" s="23">
        <f>Test!C184</f>
        <v>0</v>
      </c>
      <c r="N42" s="23">
        <f>Test!D184</f>
        <v>0</v>
      </c>
      <c r="O42" s="23">
        <f>Test!E184</f>
        <v>0</v>
      </c>
      <c r="P42" s="23">
        <f>Test!F184</f>
        <v>0</v>
      </c>
      <c r="Q42" s="23">
        <f>Test!G184</f>
        <v>0</v>
      </c>
      <c r="R42" s="24">
        <f t="shared" si="9"/>
        <v>0</v>
      </c>
      <c r="S42" s="17">
        <f t="shared" si="7"/>
        <v>0</v>
      </c>
      <c r="T42" s="18">
        <f t="shared" si="7"/>
        <v>0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Reference!B185</f>
        <v>975.74400000000003</v>
      </c>
      <c r="E43" s="13">
        <f>Reference!C185</f>
        <v>42.920499999999997</v>
      </c>
      <c r="F43" s="13">
        <f>Reference!D185</f>
        <v>46.485100000000003</v>
      </c>
      <c r="G43" s="13">
        <f>Reference!E185</f>
        <v>47.266100000000002</v>
      </c>
      <c r="H43" s="13">
        <f>Reference!F185</f>
        <v>58213.195</v>
      </c>
      <c r="I43" s="13">
        <f>Reference!G185</f>
        <v>8.3149999999999995</v>
      </c>
      <c r="J43" s="14">
        <f t="shared" si="8"/>
        <v>16.170331944444445</v>
      </c>
      <c r="L43" s="12">
        <f>Test!B185</f>
        <v>0</v>
      </c>
      <c r="M43" s="13">
        <f>Test!C185</f>
        <v>0</v>
      </c>
      <c r="N43" s="13">
        <f>Test!D185</f>
        <v>0</v>
      </c>
      <c r="O43" s="13">
        <f>Test!E185</f>
        <v>0</v>
      </c>
      <c r="P43" s="13">
        <f>Test!F185</f>
        <v>0</v>
      </c>
      <c r="Q43" s="13">
        <f>Test!G185</f>
        <v>0</v>
      </c>
      <c r="R43" s="14">
        <f t="shared" si="9"/>
        <v>0</v>
      </c>
      <c r="S43" s="17">
        <f t="shared" si="7"/>
        <v>0</v>
      </c>
      <c r="T43" s="18">
        <f t="shared" si="7"/>
        <v>0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Reference!B186</f>
        <v>498.3184</v>
      </c>
      <c r="E44" s="18">
        <f>Reference!C186</f>
        <v>41.278100000000002</v>
      </c>
      <c r="F44" s="18">
        <f>Reference!D186</f>
        <v>45.567700000000002</v>
      </c>
      <c r="G44" s="18">
        <f>Reference!E186</f>
        <v>46.160800000000002</v>
      </c>
      <c r="H44" s="18">
        <f>Reference!F186</f>
        <v>38537.758000000002</v>
      </c>
      <c r="I44" s="18">
        <f>Reference!G186</f>
        <v>6.7709999999999999</v>
      </c>
      <c r="J44" s="19">
        <f t="shared" si="8"/>
        <v>10.704932777777778</v>
      </c>
      <c r="L44" s="17">
        <f>Test!B186</f>
        <v>0</v>
      </c>
      <c r="M44" s="18">
        <f>Test!C186</f>
        <v>0</v>
      </c>
      <c r="N44" s="18">
        <f>Test!D186</f>
        <v>0</v>
      </c>
      <c r="O44" s="18">
        <f>Test!E186</f>
        <v>0</v>
      </c>
      <c r="P44" s="18">
        <f>Test!F186</f>
        <v>0</v>
      </c>
      <c r="Q44" s="18">
        <f>Test!G186</f>
        <v>0</v>
      </c>
      <c r="R44" s="19">
        <f t="shared" si="9"/>
        <v>0</v>
      </c>
      <c r="S44" s="17">
        <f t="shared" si="7"/>
        <v>0</v>
      </c>
      <c r="T44" s="18">
        <f t="shared" si="7"/>
        <v>0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Reference!B187</f>
        <v>265.2432</v>
      </c>
      <c r="E45" s="18">
        <f>Reference!C187</f>
        <v>39.119199999999999</v>
      </c>
      <c r="F45" s="18">
        <f>Reference!D187</f>
        <v>44.237200000000001</v>
      </c>
      <c r="G45" s="18">
        <f>Reference!E187</f>
        <v>44.6875</v>
      </c>
      <c r="H45" s="18">
        <f>Reference!F187</f>
        <v>20504.73</v>
      </c>
      <c r="I45" s="18">
        <f>Reference!G187</f>
        <v>5.7869999999999999</v>
      </c>
      <c r="J45" s="19">
        <f t="shared" si="8"/>
        <v>5.695758333333333</v>
      </c>
      <c r="L45" s="17">
        <f>Test!B187</f>
        <v>0</v>
      </c>
      <c r="M45" s="18">
        <f>Test!C187</f>
        <v>0</v>
      </c>
      <c r="N45" s="18">
        <f>Test!D187</f>
        <v>0</v>
      </c>
      <c r="O45" s="18">
        <f>Test!E187</f>
        <v>0</v>
      </c>
      <c r="P45" s="18">
        <f>Test!F187</f>
        <v>0</v>
      </c>
      <c r="Q45" s="18">
        <f>Test!G187</f>
        <v>0</v>
      </c>
      <c r="R45" s="19">
        <f t="shared" si="9"/>
        <v>0</v>
      </c>
      <c r="S45" s="17">
        <f t="shared" si="7"/>
        <v>0</v>
      </c>
      <c r="T45" s="18">
        <f t="shared" si="7"/>
        <v>0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Reference!B188</f>
        <v>143.2448</v>
      </c>
      <c r="E46" s="23">
        <f>Reference!C188</f>
        <v>36.344200000000001</v>
      </c>
      <c r="F46" s="23">
        <f>Reference!D188</f>
        <v>42.581400000000002</v>
      </c>
      <c r="G46" s="23">
        <f>Reference!E188</f>
        <v>42.939500000000002</v>
      </c>
      <c r="H46" s="23">
        <f>Reference!F188</f>
        <v>12340.402</v>
      </c>
      <c r="I46" s="23">
        <f>Reference!G188</f>
        <v>4.9580000000000002</v>
      </c>
      <c r="J46" s="24">
        <f t="shared" si="8"/>
        <v>3.4278894444444443</v>
      </c>
      <c r="L46" s="22">
        <f>Test!B188</f>
        <v>0</v>
      </c>
      <c r="M46" s="23">
        <f>Test!C188</f>
        <v>0</v>
      </c>
      <c r="N46" s="23">
        <f>Test!D188</f>
        <v>0</v>
      </c>
      <c r="O46" s="23">
        <f>Test!E188</f>
        <v>0</v>
      </c>
      <c r="P46" s="23">
        <f>Test!F188</f>
        <v>0</v>
      </c>
      <c r="Q46" s="23">
        <f>Test!G188</f>
        <v>0</v>
      </c>
      <c r="R46" s="24">
        <f t="shared" si="9"/>
        <v>0</v>
      </c>
      <c r="S46" s="17">
        <f t="shared" si="7"/>
        <v>0</v>
      </c>
      <c r="T46" s="18">
        <f t="shared" si="7"/>
        <v>0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Reference!B189</f>
        <v>1355.952</v>
      </c>
      <c r="E47" s="13">
        <f>Reference!C189</f>
        <v>42.61</v>
      </c>
      <c r="F47" s="13">
        <f>Reference!D189</f>
        <v>48.031399999999998</v>
      </c>
      <c r="G47" s="13">
        <f>Reference!E189</f>
        <v>47.457000000000001</v>
      </c>
      <c r="H47" s="13">
        <f>Reference!F189</f>
        <v>64444.277000000002</v>
      </c>
      <c r="I47" s="13">
        <f>Reference!G189</f>
        <v>9.9280000000000008</v>
      </c>
      <c r="J47" s="14">
        <f>H47/3600</f>
        <v>17.901188055555558</v>
      </c>
      <c r="L47" s="12">
        <f>Test!B189</f>
        <v>0</v>
      </c>
      <c r="M47" s="13">
        <f>Test!C189</f>
        <v>0</v>
      </c>
      <c r="N47" s="13">
        <f>Test!D189</f>
        <v>0</v>
      </c>
      <c r="O47" s="13">
        <f>Test!E189</f>
        <v>0</v>
      </c>
      <c r="P47" s="13">
        <f>Test!F189</f>
        <v>0</v>
      </c>
      <c r="Q47" s="13">
        <f>Test!G189</f>
        <v>0</v>
      </c>
      <c r="R47" s="14">
        <f>P47/3600</f>
        <v>0</v>
      </c>
      <c r="S47" s="17">
        <f t="shared" ref="S47:T62" si="10">P47/H47</f>
        <v>0</v>
      </c>
      <c r="T47" s="18">
        <f t="shared" si="10"/>
        <v>0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Reference!B190</f>
        <v>666.34720000000004</v>
      </c>
      <c r="E48" s="18">
        <f>Reference!C190</f>
        <v>40.917200000000001</v>
      </c>
      <c r="F48" s="18">
        <f>Reference!D190</f>
        <v>47.233800000000002</v>
      </c>
      <c r="G48" s="18">
        <f>Reference!E190</f>
        <v>46.305700000000002</v>
      </c>
      <c r="H48" s="18">
        <f>Reference!F190</f>
        <v>37164.188000000002</v>
      </c>
      <c r="I48" s="18">
        <f>Reference!G190</f>
        <v>7.7910000000000004</v>
      </c>
      <c r="J48" s="19">
        <f t="shared" ref="J48:J70" si="11">H48/3600</f>
        <v>10.323385555555555</v>
      </c>
      <c r="L48" s="17">
        <f>Test!B190</f>
        <v>0</v>
      </c>
      <c r="M48" s="18">
        <f>Test!C190</f>
        <v>0</v>
      </c>
      <c r="N48" s="18">
        <f>Test!D190</f>
        <v>0</v>
      </c>
      <c r="O48" s="18">
        <f>Test!E190</f>
        <v>0</v>
      </c>
      <c r="P48" s="18">
        <f>Test!F190</f>
        <v>0</v>
      </c>
      <c r="Q48" s="18">
        <f>Test!G190</f>
        <v>0</v>
      </c>
      <c r="R48" s="19">
        <f t="shared" ref="R48:R70" si="12">P48/3600</f>
        <v>0</v>
      </c>
      <c r="S48" s="17">
        <f t="shared" si="10"/>
        <v>0</v>
      </c>
      <c r="T48" s="18">
        <f t="shared" si="10"/>
        <v>0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Reference!B191</f>
        <v>354.39519999999999</v>
      </c>
      <c r="E49" s="18">
        <f>Reference!C191</f>
        <v>38.618200000000002</v>
      </c>
      <c r="F49" s="18">
        <f>Reference!D191</f>
        <v>46.027799999999999</v>
      </c>
      <c r="G49" s="18">
        <f>Reference!E191</f>
        <v>44.580100000000002</v>
      </c>
      <c r="H49" s="18">
        <f>Reference!F191</f>
        <v>22120.940999999999</v>
      </c>
      <c r="I49" s="18">
        <f>Reference!G191</f>
        <v>6.2949999999999999</v>
      </c>
      <c r="J49" s="19">
        <f t="shared" si="11"/>
        <v>6.1447058333333331</v>
      </c>
      <c r="L49" s="17">
        <f>Test!B191</f>
        <v>0</v>
      </c>
      <c r="M49" s="18">
        <f>Test!C191</f>
        <v>0</v>
      </c>
      <c r="N49" s="18">
        <f>Test!D191</f>
        <v>0</v>
      </c>
      <c r="O49" s="18">
        <f>Test!E191</f>
        <v>0</v>
      </c>
      <c r="P49" s="18">
        <f>Test!F191</f>
        <v>0</v>
      </c>
      <c r="Q49" s="18">
        <f>Test!G191</f>
        <v>0</v>
      </c>
      <c r="R49" s="19">
        <f t="shared" si="12"/>
        <v>0</v>
      </c>
      <c r="S49" s="17">
        <f t="shared" si="10"/>
        <v>0</v>
      </c>
      <c r="T49" s="18">
        <f t="shared" si="10"/>
        <v>0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Reference!B192</f>
        <v>193.21119999999999</v>
      </c>
      <c r="E50" s="23">
        <f>Reference!C192</f>
        <v>35.569400000000002</v>
      </c>
      <c r="F50" s="23">
        <f>Reference!D192</f>
        <v>44.599899999999998</v>
      </c>
      <c r="G50" s="23">
        <f>Reference!E192</f>
        <v>42.285400000000003</v>
      </c>
      <c r="H50" s="23">
        <f>Reference!F192</f>
        <v>13808.528</v>
      </c>
      <c r="I50" s="23">
        <f>Reference!G192</f>
        <v>5.181</v>
      </c>
      <c r="J50" s="24">
        <f t="shared" si="11"/>
        <v>3.8357022222222223</v>
      </c>
      <c r="L50" s="22">
        <f>Test!B192</f>
        <v>0</v>
      </c>
      <c r="M50" s="23">
        <f>Test!C192</f>
        <v>0</v>
      </c>
      <c r="N50" s="23">
        <f>Test!D192</f>
        <v>0</v>
      </c>
      <c r="O50" s="23">
        <f>Test!E192</f>
        <v>0</v>
      </c>
      <c r="P50" s="23">
        <f>Test!F192</f>
        <v>0</v>
      </c>
      <c r="Q50" s="23">
        <f>Test!G192</f>
        <v>0</v>
      </c>
      <c r="R50" s="24">
        <f t="shared" si="12"/>
        <v>0</v>
      </c>
      <c r="S50" s="22">
        <f t="shared" si="10"/>
        <v>0</v>
      </c>
      <c r="T50" s="23">
        <f t="shared" si="10"/>
        <v>0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Reference!B193</f>
        <v>0</v>
      </c>
      <c r="E51" s="13">
        <f>Reference!C193</f>
        <v>0</v>
      </c>
      <c r="F51" s="13">
        <f>Reference!D193</f>
        <v>0</v>
      </c>
      <c r="G51" s="13">
        <f>Reference!E193</f>
        <v>0</v>
      </c>
      <c r="H51" s="13">
        <f>Reference!F193</f>
        <v>0</v>
      </c>
      <c r="I51" s="13">
        <f>Reference!G193</f>
        <v>0</v>
      </c>
      <c r="J51" s="14">
        <f t="shared" si="11"/>
        <v>0</v>
      </c>
      <c r="L51" s="12">
        <f>Test!B193</f>
        <v>0</v>
      </c>
      <c r="M51" s="13">
        <f>Test!C193</f>
        <v>0</v>
      </c>
      <c r="N51" s="13">
        <f>Test!D193</f>
        <v>0</v>
      </c>
      <c r="O51" s="13">
        <f>Test!E193</f>
        <v>0</v>
      </c>
      <c r="P51" s="13">
        <f>Test!F193</f>
        <v>0</v>
      </c>
      <c r="Q51" s="13">
        <f>Test!G193</f>
        <v>0</v>
      </c>
      <c r="R51" s="14">
        <f t="shared" si="12"/>
        <v>0</v>
      </c>
      <c r="S51" s="12" t="e">
        <f t="shared" si="10"/>
        <v>#DIV/0!</v>
      </c>
      <c r="T51" s="13" t="e">
        <f t="shared" si="10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Reference!B194</f>
        <v>0</v>
      </c>
      <c r="E52" s="18">
        <f>Reference!C194</f>
        <v>0</v>
      </c>
      <c r="F52" s="18">
        <f>Reference!D194</f>
        <v>0</v>
      </c>
      <c r="G52" s="18">
        <f>Reference!E194</f>
        <v>0</v>
      </c>
      <c r="H52" s="18">
        <f>Reference!F194</f>
        <v>0</v>
      </c>
      <c r="I52" s="18">
        <f>Reference!G194</f>
        <v>0</v>
      </c>
      <c r="J52" s="19">
        <f t="shared" si="11"/>
        <v>0</v>
      </c>
      <c r="L52" s="17">
        <f>Test!B194</f>
        <v>0</v>
      </c>
      <c r="M52" s="18">
        <f>Test!C194</f>
        <v>0</v>
      </c>
      <c r="N52" s="18">
        <f>Test!D194</f>
        <v>0</v>
      </c>
      <c r="O52" s="18">
        <f>Test!E194</f>
        <v>0</v>
      </c>
      <c r="P52" s="18">
        <f>Test!F194</f>
        <v>0</v>
      </c>
      <c r="Q52" s="18">
        <f>Test!G194</f>
        <v>0</v>
      </c>
      <c r="R52" s="19">
        <f t="shared" si="12"/>
        <v>0</v>
      </c>
      <c r="S52" s="17" t="e">
        <f t="shared" si="10"/>
        <v>#DIV/0!</v>
      </c>
      <c r="T52" s="18" t="e">
        <f t="shared" si="10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Reference!B195</f>
        <v>0</v>
      </c>
      <c r="E53" s="18">
        <f>Reference!C195</f>
        <v>0</v>
      </c>
      <c r="F53" s="18">
        <f>Reference!D195</f>
        <v>0</v>
      </c>
      <c r="G53" s="18">
        <f>Reference!E195</f>
        <v>0</v>
      </c>
      <c r="H53" s="18">
        <f>Reference!F195</f>
        <v>0</v>
      </c>
      <c r="I53" s="18">
        <f>Reference!G195</f>
        <v>0</v>
      </c>
      <c r="J53" s="19">
        <f t="shared" si="11"/>
        <v>0</v>
      </c>
      <c r="L53" s="17">
        <f>Test!B195</f>
        <v>0</v>
      </c>
      <c r="M53" s="18">
        <f>Test!C195</f>
        <v>0</v>
      </c>
      <c r="N53" s="18">
        <f>Test!D195</f>
        <v>0</v>
      </c>
      <c r="O53" s="18">
        <f>Test!E195</f>
        <v>0</v>
      </c>
      <c r="P53" s="18">
        <f>Test!F195</f>
        <v>0</v>
      </c>
      <c r="Q53" s="18">
        <f>Test!G195</f>
        <v>0</v>
      </c>
      <c r="R53" s="19">
        <f t="shared" si="12"/>
        <v>0</v>
      </c>
      <c r="S53" s="17" t="e">
        <f t="shared" si="10"/>
        <v>#DIV/0!</v>
      </c>
      <c r="T53" s="18" t="e">
        <f t="shared" si="10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Reference!B196</f>
        <v>0</v>
      </c>
      <c r="E54" s="23">
        <f>Reference!C196</f>
        <v>0</v>
      </c>
      <c r="F54" s="23">
        <f>Reference!D196</f>
        <v>0</v>
      </c>
      <c r="G54" s="23">
        <f>Reference!E196</f>
        <v>0</v>
      </c>
      <c r="H54" s="23">
        <f>Reference!F196</f>
        <v>0</v>
      </c>
      <c r="I54" s="23">
        <f>Reference!G196</f>
        <v>0</v>
      </c>
      <c r="J54" s="24">
        <f t="shared" si="11"/>
        <v>0</v>
      </c>
      <c r="L54" s="22">
        <f>Test!B196</f>
        <v>0</v>
      </c>
      <c r="M54" s="23">
        <f>Test!C196</f>
        <v>0</v>
      </c>
      <c r="N54" s="23">
        <f>Test!D196</f>
        <v>0</v>
      </c>
      <c r="O54" s="23">
        <f>Test!E196</f>
        <v>0</v>
      </c>
      <c r="P54" s="23">
        <f>Test!F196</f>
        <v>0</v>
      </c>
      <c r="Q54" s="23">
        <f>Test!G196</f>
        <v>0</v>
      </c>
      <c r="R54" s="24">
        <f t="shared" si="12"/>
        <v>0</v>
      </c>
      <c r="S54" s="17" t="e">
        <f t="shared" si="10"/>
        <v>#DIV/0!</v>
      </c>
      <c r="T54" s="18" t="e">
        <f t="shared" si="10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Reference!B197</f>
        <v>0</v>
      </c>
      <c r="E55" s="13">
        <f>Reference!C197</f>
        <v>0</v>
      </c>
      <c r="F55" s="13">
        <f>Reference!D197</f>
        <v>0</v>
      </c>
      <c r="G55" s="13">
        <f>Reference!E197</f>
        <v>0</v>
      </c>
      <c r="H55" s="13">
        <f>Reference!F197</f>
        <v>0</v>
      </c>
      <c r="I55" s="13">
        <f>Reference!G197</f>
        <v>0</v>
      </c>
      <c r="J55" s="14">
        <f t="shared" si="11"/>
        <v>0</v>
      </c>
      <c r="L55" s="12">
        <f>Test!B197</f>
        <v>0</v>
      </c>
      <c r="M55" s="13">
        <f>Test!C197</f>
        <v>0</v>
      </c>
      <c r="N55" s="13">
        <f>Test!D197</f>
        <v>0</v>
      </c>
      <c r="O55" s="13">
        <f>Test!E197</f>
        <v>0</v>
      </c>
      <c r="P55" s="13">
        <f>Test!F197</f>
        <v>0</v>
      </c>
      <c r="Q55" s="13">
        <f>Test!G197</f>
        <v>0</v>
      </c>
      <c r="R55" s="14">
        <f t="shared" si="12"/>
        <v>0</v>
      </c>
      <c r="S55" s="17" t="e">
        <f t="shared" si="10"/>
        <v>#DIV/0!</v>
      </c>
      <c r="T55" s="18" t="e">
        <f t="shared" si="10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Reference!B198</f>
        <v>0</v>
      </c>
      <c r="E56" s="18">
        <f>Reference!C198</f>
        <v>0</v>
      </c>
      <c r="F56" s="18">
        <f>Reference!D198</f>
        <v>0</v>
      </c>
      <c r="G56" s="18">
        <f>Reference!E198</f>
        <v>0</v>
      </c>
      <c r="H56" s="18">
        <f>Reference!F198</f>
        <v>0</v>
      </c>
      <c r="I56" s="18">
        <f>Reference!G198</f>
        <v>0</v>
      </c>
      <c r="J56" s="19">
        <f t="shared" si="11"/>
        <v>0</v>
      </c>
      <c r="L56" s="17">
        <f>Test!B198</f>
        <v>0</v>
      </c>
      <c r="M56" s="18">
        <f>Test!C198</f>
        <v>0</v>
      </c>
      <c r="N56" s="18">
        <f>Test!D198</f>
        <v>0</v>
      </c>
      <c r="O56" s="18">
        <f>Test!E198</f>
        <v>0</v>
      </c>
      <c r="P56" s="18">
        <f>Test!F198</f>
        <v>0</v>
      </c>
      <c r="Q56" s="18">
        <f>Test!G198</f>
        <v>0</v>
      </c>
      <c r="R56" s="19">
        <f t="shared" si="12"/>
        <v>0</v>
      </c>
      <c r="S56" s="17" t="e">
        <f t="shared" si="10"/>
        <v>#DIV/0!</v>
      </c>
      <c r="T56" s="18" t="e">
        <f t="shared" si="10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Reference!B199</f>
        <v>0</v>
      </c>
      <c r="E57" s="18">
        <f>Reference!C199</f>
        <v>0</v>
      </c>
      <c r="F57" s="18">
        <f>Reference!D199</f>
        <v>0</v>
      </c>
      <c r="G57" s="18">
        <f>Reference!E199</f>
        <v>0</v>
      </c>
      <c r="H57" s="18">
        <f>Reference!F199</f>
        <v>0</v>
      </c>
      <c r="I57" s="18">
        <f>Reference!G199</f>
        <v>0</v>
      </c>
      <c r="J57" s="19">
        <f t="shared" si="11"/>
        <v>0</v>
      </c>
      <c r="L57" s="17">
        <f>Test!B199</f>
        <v>0</v>
      </c>
      <c r="M57" s="18">
        <f>Test!C199</f>
        <v>0</v>
      </c>
      <c r="N57" s="18">
        <f>Test!D199</f>
        <v>0</v>
      </c>
      <c r="O57" s="18">
        <f>Test!E199</f>
        <v>0</v>
      </c>
      <c r="P57" s="18">
        <f>Test!F199</f>
        <v>0</v>
      </c>
      <c r="Q57" s="18">
        <f>Test!G199</f>
        <v>0</v>
      </c>
      <c r="R57" s="19">
        <f t="shared" si="12"/>
        <v>0</v>
      </c>
      <c r="S57" s="17" t="e">
        <f t="shared" si="10"/>
        <v>#DIV/0!</v>
      </c>
      <c r="T57" s="18" t="e">
        <f t="shared" si="10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Reference!B200</f>
        <v>0</v>
      </c>
      <c r="E58" s="23">
        <f>Reference!C200</f>
        <v>0</v>
      </c>
      <c r="F58" s="23">
        <f>Reference!D200</f>
        <v>0</v>
      </c>
      <c r="G58" s="23">
        <f>Reference!E200</f>
        <v>0</v>
      </c>
      <c r="H58" s="23">
        <f>Reference!F200</f>
        <v>0</v>
      </c>
      <c r="I58" s="23">
        <f>Reference!G200</f>
        <v>0</v>
      </c>
      <c r="J58" s="24">
        <f t="shared" si="11"/>
        <v>0</v>
      </c>
      <c r="L58" s="22">
        <f>Test!B200</f>
        <v>0</v>
      </c>
      <c r="M58" s="23">
        <f>Test!C200</f>
        <v>0</v>
      </c>
      <c r="N58" s="23">
        <f>Test!D200</f>
        <v>0</v>
      </c>
      <c r="O58" s="23">
        <f>Test!E200</f>
        <v>0</v>
      </c>
      <c r="P58" s="23">
        <f>Test!F200</f>
        <v>0</v>
      </c>
      <c r="Q58" s="23">
        <f>Test!G200</f>
        <v>0</v>
      </c>
      <c r="R58" s="24">
        <f t="shared" si="12"/>
        <v>0</v>
      </c>
      <c r="S58" s="22" t="e">
        <f t="shared" si="10"/>
        <v>#DIV/0!</v>
      </c>
      <c r="T58" s="23" t="e">
        <f t="shared" si="10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Reference!B201</f>
        <v>0</v>
      </c>
      <c r="E59" s="13">
        <f>Reference!C201</f>
        <v>0</v>
      </c>
      <c r="F59" s="13">
        <f>Reference!D201</f>
        <v>0</v>
      </c>
      <c r="G59" s="13">
        <f>Reference!E201</f>
        <v>0</v>
      </c>
      <c r="H59" s="13">
        <f>Reference!F201</f>
        <v>0</v>
      </c>
      <c r="I59" s="13">
        <f>Reference!G201</f>
        <v>0</v>
      </c>
      <c r="J59" s="14">
        <f t="shared" si="11"/>
        <v>0</v>
      </c>
      <c r="L59" s="12">
        <f>Test!B201</f>
        <v>0</v>
      </c>
      <c r="M59" s="13">
        <f>Test!C201</f>
        <v>0</v>
      </c>
      <c r="N59" s="13">
        <f>Test!D201</f>
        <v>0</v>
      </c>
      <c r="O59" s="13">
        <f>Test!E201</f>
        <v>0</v>
      </c>
      <c r="P59" s="13">
        <f>Test!F201</f>
        <v>0</v>
      </c>
      <c r="Q59" s="13">
        <f>Test!G201</f>
        <v>0</v>
      </c>
      <c r="R59" s="14">
        <f t="shared" si="12"/>
        <v>0</v>
      </c>
      <c r="S59" s="12" t="e">
        <f t="shared" si="10"/>
        <v>#DIV/0!</v>
      </c>
      <c r="T59" s="13" t="e">
        <f t="shared" si="10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Reference!B202</f>
        <v>0</v>
      </c>
      <c r="E60" s="18">
        <f>Reference!C202</f>
        <v>0</v>
      </c>
      <c r="F60" s="18">
        <f>Reference!D202</f>
        <v>0</v>
      </c>
      <c r="G60" s="18">
        <f>Reference!E202</f>
        <v>0</v>
      </c>
      <c r="H60" s="18">
        <f>Reference!F202</f>
        <v>0</v>
      </c>
      <c r="I60" s="18">
        <f>Reference!G202</f>
        <v>0</v>
      </c>
      <c r="J60" s="19">
        <f t="shared" si="11"/>
        <v>0</v>
      </c>
      <c r="L60" s="17">
        <f>Test!B202</f>
        <v>0</v>
      </c>
      <c r="M60" s="18">
        <f>Test!C202</f>
        <v>0</v>
      </c>
      <c r="N60" s="18">
        <f>Test!D202</f>
        <v>0</v>
      </c>
      <c r="O60" s="18">
        <f>Test!E202</f>
        <v>0</v>
      </c>
      <c r="P60" s="18">
        <f>Test!F202</f>
        <v>0</v>
      </c>
      <c r="Q60" s="18">
        <f>Test!G202</f>
        <v>0</v>
      </c>
      <c r="R60" s="19">
        <f t="shared" si="12"/>
        <v>0</v>
      </c>
      <c r="S60" s="17" t="e">
        <f t="shared" si="10"/>
        <v>#DIV/0!</v>
      </c>
      <c r="T60" s="18" t="e">
        <f t="shared" si="10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Reference!B203</f>
        <v>0</v>
      </c>
      <c r="E61" s="18">
        <f>Reference!C203</f>
        <v>0</v>
      </c>
      <c r="F61" s="18">
        <f>Reference!D203</f>
        <v>0</v>
      </c>
      <c r="G61" s="18">
        <f>Reference!E203</f>
        <v>0</v>
      </c>
      <c r="H61" s="18">
        <f>Reference!F203</f>
        <v>0</v>
      </c>
      <c r="I61" s="18">
        <f>Reference!G203</f>
        <v>0</v>
      </c>
      <c r="J61" s="19">
        <f t="shared" si="11"/>
        <v>0</v>
      </c>
      <c r="L61" s="17">
        <f>Test!B203</f>
        <v>0</v>
      </c>
      <c r="M61" s="18">
        <f>Test!C203</f>
        <v>0</v>
      </c>
      <c r="N61" s="18">
        <f>Test!D203</f>
        <v>0</v>
      </c>
      <c r="O61" s="18">
        <f>Test!E203</f>
        <v>0</v>
      </c>
      <c r="P61" s="18">
        <f>Test!F203</f>
        <v>0</v>
      </c>
      <c r="Q61" s="18">
        <f>Test!G203</f>
        <v>0</v>
      </c>
      <c r="R61" s="19">
        <f t="shared" si="12"/>
        <v>0</v>
      </c>
      <c r="S61" s="17" t="e">
        <f t="shared" si="10"/>
        <v>#DIV/0!</v>
      </c>
      <c r="T61" s="18" t="e">
        <f t="shared" si="10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Reference!B204</f>
        <v>0</v>
      </c>
      <c r="E62" s="23">
        <f>Reference!C204</f>
        <v>0</v>
      </c>
      <c r="F62" s="23">
        <f>Reference!D204</f>
        <v>0</v>
      </c>
      <c r="G62" s="23">
        <f>Reference!E204</f>
        <v>0</v>
      </c>
      <c r="H62" s="23">
        <f>Reference!F204</f>
        <v>0</v>
      </c>
      <c r="I62" s="23">
        <f>Reference!G204</f>
        <v>0</v>
      </c>
      <c r="J62" s="24">
        <f t="shared" si="11"/>
        <v>0</v>
      </c>
      <c r="L62" s="22">
        <f>Test!B204</f>
        <v>0</v>
      </c>
      <c r="M62" s="23">
        <f>Test!C204</f>
        <v>0</v>
      </c>
      <c r="N62" s="23">
        <f>Test!D204</f>
        <v>0</v>
      </c>
      <c r="O62" s="23">
        <f>Test!E204</f>
        <v>0</v>
      </c>
      <c r="P62" s="23">
        <f>Test!F204</f>
        <v>0</v>
      </c>
      <c r="Q62" s="23">
        <f>Test!G204</f>
        <v>0</v>
      </c>
      <c r="R62" s="24">
        <f t="shared" si="12"/>
        <v>0</v>
      </c>
      <c r="S62" s="17" t="e">
        <f t="shared" si="10"/>
        <v>#DIV/0!</v>
      </c>
      <c r="T62" s="18" t="e">
        <f t="shared" si="10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Reference!B205</f>
        <v>0</v>
      </c>
      <c r="E63" s="13">
        <f>Reference!C205</f>
        <v>0</v>
      </c>
      <c r="F63" s="13">
        <f>Reference!D205</f>
        <v>0</v>
      </c>
      <c r="G63" s="13">
        <f>Reference!E205</f>
        <v>0</v>
      </c>
      <c r="H63" s="13">
        <f>Reference!F205</f>
        <v>0</v>
      </c>
      <c r="I63" s="13">
        <f>Reference!G205</f>
        <v>0</v>
      </c>
      <c r="J63" s="14">
        <f t="shared" si="11"/>
        <v>0</v>
      </c>
      <c r="L63" s="12">
        <f>Test!B205</f>
        <v>0</v>
      </c>
      <c r="M63" s="13">
        <f>Test!C205</f>
        <v>0</v>
      </c>
      <c r="N63" s="13">
        <f>Test!D205</f>
        <v>0</v>
      </c>
      <c r="O63" s="13">
        <f>Test!E205</f>
        <v>0</v>
      </c>
      <c r="P63" s="13">
        <f>Test!F205</f>
        <v>0</v>
      </c>
      <c r="Q63" s="13">
        <f>Test!G205</f>
        <v>0</v>
      </c>
      <c r="R63" s="14">
        <f t="shared" si="12"/>
        <v>0</v>
      </c>
      <c r="S63" s="17" t="e">
        <f t="shared" ref="S63:S74" si="13">P63/H63</f>
        <v>#DIV/0!</v>
      </c>
      <c r="T63" s="18" t="e">
        <f t="shared" ref="T63:T74" si="14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Reference!B206</f>
        <v>0</v>
      </c>
      <c r="E64" s="18">
        <f>Reference!C206</f>
        <v>0</v>
      </c>
      <c r="F64" s="18">
        <f>Reference!D206</f>
        <v>0</v>
      </c>
      <c r="G64" s="18">
        <f>Reference!E206</f>
        <v>0</v>
      </c>
      <c r="H64" s="18">
        <f>Reference!F206</f>
        <v>0</v>
      </c>
      <c r="I64" s="18">
        <f>Reference!G206</f>
        <v>0</v>
      </c>
      <c r="J64" s="19">
        <f t="shared" si="11"/>
        <v>0</v>
      </c>
      <c r="L64" s="17">
        <f>Test!B206</f>
        <v>0</v>
      </c>
      <c r="M64" s="18">
        <f>Test!C206</f>
        <v>0</v>
      </c>
      <c r="N64" s="18">
        <f>Test!D206</f>
        <v>0</v>
      </c>
      <c r="O64" s="18">
        <f>Test!E206</f>
        <v>0</v>
      </c>
      <c r="P64" s="18">
        <f>Test!F206</f>
        <v>0</v>
      </c>
      <c r="Q64" s="18">
        <f>Test!G206</f>
        <v>0</v>
      </c>
      <c r="R64" s="19">
        <f t="shared" si="12"/>
        <v>0</v>
      </c>
      <c r="S64" s="17" t="e">
        <f t="shared" si="13"/>
        <v>#DIV/0!</v>
      </c>
      <c r="T64" s="18" t="e">
        <f t="shared" si="14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Reference!B207</f>
        <v>0</v>
      </c>
      <c r="E65" s="18">
        <f>Reference!C207</f>
        <v>0</v>
      </c>
      <c r="F65" s="18">
        <f>Reference!D207</f>
        <v>0</v>
      </c>
      <c r="G65" s="18">
        <f>Reference!E207</f>
        <v>0</v>
      </c>
      <c r="H65" s="18">
        <f>Reference!F207</f>
        <v>0</v>
      </c>
      <c r="I65" s="18">
        <f>Reference!G207</f>
        <v>0</v>
      </c>
      <c r="J65" s="19">
        <f t="shared" si="11"/>
        <v>0</v>
      </c>
      <c r="L65" s="17">
        <f>Test!B207</f>
        <v>0</v>
      </c>
      <c r="M65" s="18">
        <f>Test!C207</f>
        <v>0</v>
      </c>
      <c r="N65" s="18">
        <f>Test!D207</f>
        <v>0</v>
      </c>
      <c r="O65" s="18">
        <f>Test!E207</f>
        <v>0</v>
      </c>
      <c r="P65" s="18">
        <f>Test!F207</f>
        <v>0</v>
      </c>
      <c r="Q65" s="18">
        <f>Test!G207</f>
        <v>0</v>
      </c>
      <c r="R65" s="19">
        <f t="shared" si="12"/>
        <v>0</v>
      </c>
      <c r="S65" s="17" t="e">
        <f t="shared" si="13"/>
        <v>#DIV/0!</v>
      </c>
      <c r="T65" s="18" t="e">
        <f t="shared" si="14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Reference!B208</f>
        <v>0</v>
      </c>
      <c r="E66" s="23">
        <f>Reference!C208</f>
        <v>0</v>
      </c>
      <c r="F66" s="23">
        <f>Reference!D208</f>
        <v>0</v>
      </c>
      <c r="G66" s="23">
        <f>Reference!E208</f>
        <v>0</v>
      </c>
      <c r="H66" s="23">
        <f>Reference!F208</f>
        <v>0</v>
      </c>
      <c r="I66" s="23">
        <f>Reference!G208</f>
        <v>0</v>
      </c>
      <c r="J66" s="24">
        <f t="shared" si="11"/>
        <v>0</v>
      </c>
      <c r="L66" s="22">
        <f>Test!B208</f>
        <v>0</v>
      </c>
      <c r="M66" s="23">
        <f>Test!C208</f>
        <v>0</v>
      </c>
      <c r="N66" s="23">
        <f>Test!D208</f>
        <v>0</v>
      </c>
      <c r="O66" s="23">
        <f>Test!E208</f>
        <v>0</v>
      </c>
      <c r="P66" s="23">
        <f>Test!F208</f>
        <v>0</v>
      </c>
      <c r="Q66" s="23">
        <f>Test!G208</f>
        <v>0</v>
      </c>
      <c r="R66" s="24">
        <f t="shared" si="12"/>
        <v>0</v>
      </c>
      <c r="S66" s="17" t="e">
        <f t="shared" si="13"/>
        <v>#DIV/0!</v>
      </c>
      <c r="T66" s="18" t="e">
        <f t="shared" si="14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Reference!B209</f>
        <v>0</v>
      </c>
      <c r="E67" s="13">
        <f>Reference!C209</f>
        <v>0</v>
      </c>
      <c r="F67" s="13">
        <f>Reference!D209</f>
        <v>0</v>
      </c>
      <c r="G67" s="13">
        <f>Reference!E209</f>
        <v>0</v>
      </c>
      <c r="H67" s="13">
        <f>Reference!F209</f>
        <v>0</v>
      </c>
      <c r="I67" s="13">
        <f>Reference!G209</f>
        <v>0</v>
      </c>
      <c r="J67" s="14">
        <f t="shared" si="11"/>
        <v>0</v>
      </c>
      <c r="L67" s="12">
        <f>Test!B209</f>
        <v>0</v>
      </c>
      <c r="M67" s="13">
        <f>Test!C209</f>
        <v>0</v>
      </c>
      <c r="N67" s="13">
        <f>Test!D209</f>
        <v>0</v>
      </c>
      <c r="O67" s="13">
        <f>Test!E209</f>
        <v>0</v>
      </c>
      <c r="P67" s="13">
        <f>Test!F209</f>
        <v>0</v>
      </c>
      <c r="Q67" s="13">
        <f>Test!G209</f>
        <v>0</v>
      </c>
      <c r="R67" s="14">
        <f t="shared" si="12"/>
        <v>0</v>
      </c>
      <c r="S67" s="17" t="e">
        <f t="shared" si="13"/>
        <v>#DIV/0!</v>
      </c>
      <c r="T67" s="18" t="e">
        <f t="shared" si="14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Reference!B210</f>
        <v>0</v>
      </c>
      <c r="E68" s="18">
        <f>Reference!C210</f>
        <v>0</v>
      </c>
      <c r="F68" s="18">
        <f>Reference!D210</f>
        <v>0</v>
      </c>
      <c r="G68" s="18">
        <f>Reference!E210</f>
        <v>0</v>
      </c>
      <c r="H68" s="18">
        <f>Reference!F210</f>
        <v>0</v>
      </c>
      <c r="I68" s="18">
        <f>Reference!G210</f>
        <v>0</v>
      </c>
      <c r="J68" s="19">
        <f t="shared" si="11"/>
        <v>0</v>
      </c>
      <c r="L68" s="17">
        <f>Test!B210</f>
        <v>0</v>
      </c>
      <c r="M68" s="18">
        <f>Test!C210</f>
        <v>0</v>
      </c>
      <c r="N68" s="18">
        <f>Test!D210</f>
        <v>0</v>
      </c>
      <c r="O68" s="18">
        <f>Test!E210</f>
        <v>0</v>
      </c>
      <c r="P68" s="18">
        <f>Test!F210</f>
        <v>0</v>
      </c>
      <c r="Q68" s="18">
        <f>Test!G210</f>
        <v>0</v>
      </c>
      <c r="R68" s="19">
        <f t="shared" si="12"/>
        <v>0</v>
      </c>
      <c r="S68" s="17" t="e">
        <f t="shared" si="13"/>
        <v>#DIV/0!</v>
      </c>
      <c r="T68" s="18" t="e">
        <f t="shared" si="14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Reference!B211</f>
        <v>0</v>
      </c>
      <c r="E69" s="18">
        <f>Reference!C211</f>
        <v>0</v>
      </c>
      <c r="F69" s="18">
        <f>Reference!D211</f>
        <v>0</v>
      </c>
      <c r="G69" s="18">
        <f>Reference!E211</f>
        <v>0</v>
      </c>
      <c r="H69" s="18">
        <f>Reference!F211</f>
        <v>0</v>
      </c>
      <c r="I69" s="18">
        <f>Reference!G211</f>
        <v>0</v>
      </c>
      <c r="J69" s="19">
        <f t="shared" si="11"/>
        <v>0</v>
      </c>
      <c r="L69" s="17">
        <f>Test!B211</f>
        <v>0</v>
      </c>
      <c r="M69" s="18">
        <f>Test!C211</f>
        <v>0</v>
      </c>
      <c r="N69" s="18">
        <f>Test!D211</f>
        <v>0</v>
      </c>
      <c r="O69" s="18">
        <f>Test!E211</f>
        <v>0</v>
      </c>
      <c r="P69" s="18">
        <f>Test!F211</f>
        <v>0</v>
      </c>
      <c r="Q69" s="18">
        <f>Test!G211</f>
        <v>0</v>
      </c>
      <c r="R69" s="19">
        <f t="shared" si="12"/>
        <v>0</v>
      </c>
      <c r="S69" s="17" t="e">
        <f t="shared" si="13"/>
        <v>#DIV/0!</v>
      </c>
      <c r="T69" s="18" t="e">
        <f t="shared" si="14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Reference!B212</f>
        <v>0</v>
      </c>
      <c r="E70" s="23">
        <f>Reference!C212</f>
        <v>0</v>
      </c>
      <c r="F70" s="23">
        <f>Reference!D212</f>
        <v>0</v>
      </c>
      <c r="G70" s="23">
        <f>Reference!E212</f>
        <v>0</v>
      </c>
      <c r="H70" s="23">
        <f>Reference!F212</f>
        <v>0</v>
      </c>
      <c r="I70" s="23">
        <f>Reference!G212</f>
        <v>0</v>
      </c>
      <c r="J70" s="24">
        <f t="shared" si="11"/>
        <v>0</v>
      </c>
      <c r="L70" s="22">
        <f>Test!B212</f>
        <v>0</v>
      </c>
      <c r="M70" s="23">
        <f>Test!C212</f>
        <v>0</v>
      </c>
      <c r="N70" s="23">
        <f>Test!D212</f>
        <v>0</v>
      </c>
      <c r="O70" s="23">
        <f>Test!E212</f>
        <v>0</v>
      </c>
      <c r="P70" s="23">
        <f>Test!F212</f>
        <v>0</v>
      </c>
      <c r="Q70" s="23">
        <f>Test!G212</f>
        <v>0</v>
      </c>
      <c r="R70" s="24">
        <f t="shared" si="12"/>
        <v>0</v>
      </c>
      <c r="S70" s="17" t="e">
        <f t="shared" si="13"/>
        <v>#DIV/0!</v>
      </c>
      <c r="T70" s="18" t="e">
        <f t="shared" si="14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Reference!B213</f>
        <v>0</v>
      </c>
      <c r="E71" s="13">
        <f>Reference!C213</f>
        <v>0</v>
      </c>
      <c r="F71" s="13">
        <f>Reference!D213</f>
        <v>0</v>
      </c>
      <c r="G71" s="13">
        <f>Reference!E213</f>
        <v>0</v>
      </c>
      <c r="H71" s="13">
        <f>Reference!F213</f>
        <v>0</v>
      </c>
      <c r="I71" s="13">
        <f>Reference!G213</f>
        <v>0</v>
      </c>
      <c r="J71" s="14">
        <f>H71/3600</f>
        <v>0</v>
      </c>
      <c r="L71" s="12">
        <f>Test!B213</f>
        <v>0</v>
      </c>
      <c r="M71" s="13">
        <f>Test!C213</f>
        <v>0</v>
      </c>
      <c r="N71" s="13">
        <f>Test!D213</f>
        <v>0</v>
      </c>
      <c r="O71" s="13">
        <f>Test!E213</f>
        <v>0</v>
      </c>
      <c r="P71" s="13">
        <f>Test!F213</f>
        <v>0</v>
      </c>
      <c r="Q71" s="13">
        <f>Test!G213</f>
        <v>0</v>
      </c>
      <c r="R71" s="14">
        <f>P71/3600</f>
        <v>0</v>
      </c>
      <c r="S71" s="17" t="e">
        <f t="shared" si="13"/>
        <v>#DIV/0!</v>
      </c>
      <c r="T71" s="18" t="e">
        <f t="shared" si="14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Reference!B214</f>
        <v>0</v>
      </c>
      <c r="E72" s="18">
        <f>Reference!C214</f>
        <v>0</v>
      </c>
      <c r="F72" s="18">
        <f>Reference!D214</f>
        <v>0</v>
      </c>
      <c r="G72" s="18">
        <f>Reference!E214</f>
        <v>0</v>
      </c>
      <c r="H72" s="18">
        <f>Reference!F214</f>
        <v>0</v>
      </c>
      <c r="I72" s="18">
        <f>Reference!G214</f>
        <v>0</v>
      </c>
      <c r="J72" s="19">
        <f t="shared" ref="J72:J74" si="15">H72/3600</f>
        <v>0</v>
      </c>
      <c r="L72" s="17">
        <f>Test!B214</f>
        <v>0</v>
      </c>
      <c r="M72" s="18">
        <f>Test!C214</f>
        <v>0</v>
      </c>
      <c r="N72" s="18">
        <f>Test!D214</f>
        <v>0</v>
      </c>
      <c r="O72" s="18">
        <f>Test!E214</f>
        <v>0</v>
      </c>
      <c r="P72" s="18">
        <f>Test!F214</f>
        <v>0</v>
      </c>
      <c r="Q72" s="18">
        <f>Test!G214</f>
        <v>0</v>
      </c>
      <c r="R72" s="19">
        <f t="shared" ref="R72:R74" si="16">P72/3600</f>
        <v>0</v>
      </c>
      <c r="S72" s="17" t="e">
        <f t="shared" si="13"/>
        <v>#DIV/0!</v>
      </c>
      <c r="T72" s="18" t="e">
        <f t="shared" si="14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Reference!B215</f>
        <v>0</v>
      </c>
      <c r="E73" s="18">
        <f>Reference!C215</f>
        <v>0</v>
      </c>
      <c r="F73" s="18">
        <f>Reference!D215</f>
        <v>0</v>
      </c>
      <c r="G73" s="18">
        <f>Reference!E215</f>
        <v>0</v>
      </c>
      <c r="H73" s="18">
        <f>Reference!F215</f>
        <v>0</v>
      </c>
      <c r="I73" s="18">
        <f>Reference!G215</f>
        <v>0</v>
      </c>
      <c r="J73" s="19">
        <f t="shared" si="15"/>
        <v>0</v>
      </c>
      <c r="L73" s="17">
        <f>Test!B215</f>
        <v>0</v>
      </c>
      <c r="M73" s="18">
        <f>Test!C215</f>
        <v>0</v>
      </c>
      <c r="N73" s="18">
        <f>Test!D215</f>
        <v>0</v>
      </c>
      <c r="O73" s="18">
        <f>Test!E215</f>
        <v>0</v>
      </c>
      <c r="P73" s="18">
        <f>Test!F215</f>
        <v>0</v>
      </c>
      <c r="Q73" s="18">
        <f>Test!G215</f>
        <v>0</v>
      </c>
      <c r="R73" s="19">
        <f t="shared" si="16"/>
        <v>0</v>
      </c>
      <c r="S73" s="17" t="e">
        <f t="shared" si="13"/>
        <v>#DIV/0!</v>
      </c>
      <c r="T73" s="18" t="e">
        <f t="shared" si="14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Reference!B216</f>
        <v>0</v>
      </c>
      <c r="E74" s="23">
        <f>Reference!C216</f>
        <v>0</v>
      </c>
      <c r="F74" s="23">
        <f>Reference!D216</f>
        <v>0</v>
      </c>
      <c r="G74" s="23">
        <f>Reference!E216</f>
        <v>0</v>
      </c>
      <c r="H74" s="23">
        <f>Reference!F216</f>
        <v>0</v>
      </c>
      <c r="I74" s="23">
        <f>Reference!G216</f>
        <v>0</v>
      </c>
      <c r="J74" s="24">
        <f t="shared" si="15"/>
        <v>0</v>
      </c>
      <c r="L74" s="22">
        <f>Test!B216</f>
        <v>0</v>
      </c>
      <c r="M74" s="23">
        <f>Test!C216</f>
        <v>0</v>
      </c>
      <c r="N74" s="23">
        <f>Test!D216</f>
        <v>0</v>
      </c>
      <c r="O74" s="23">
        <f>Test!E216</f>
        <v>0</v>
      </c>
      <c r="P74" s="23">
        <f>Test!F216</f>
        <v>0</v>
      </c>
      <c r="Q74" s="23">
        <f>Test!G216</f>
        <v>0</v>
      </c>
      <c r="R74" s="24">
        <f t="shared" si="16"/>
        <v>0</v>
      </c>
      <c r="S74" s="22" t="e">
        <f t="shared" si="13"/>
        <v>#DIV/0!</v>
      </c>
      <c r="T74" s="23" t="e">
        <f t="shared" si="14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>
        <f>GEOMEAN(I3:I18)</f>
        <v>21.849117430878678</v>
      </c>
      <c r="J75" s="15">
        <f>GEOMEAN(J3:J18)</f>
        <v>31.749732247099796</v>
      </c>
      <c r="Q75" s="15" t="e">
        <f>GEOMEAN(Q3:Q18)</f>
        <v>#NUM!</v>
      </c>
      <c r="R75" s="15" t="e">
        <f>GEOMEAN(R3:R18)</f>
        <v>#NUM!</v>
      </c>
      <c r="S75" s="15" t="e">
        <f>GEOMEAN(S3:S18)</f>
        <v>#NUM!</v>
      </c>
      <c r="T75" s="15" t="e">
        <f>GEOMEAN(T3:T18)</f>
        <v>#NUM!</v>
      </c>
      <c r="V75" s="37" t="e">
        <f>AVERAGE(V3:V18)</f>
        <v>#VALUE!</v>
      </c>
      <c r="W75" s="42" t="e">
        <f t="shared" ref="W75:AA75" si="17">AVERAGE(W3:W18)</f>
        <v>#VALUE!</v>
      </c>
      <c r="X75" s="42" t="e">
        <f t="shared" si="17"/>
        <v>#VALUE!</v>
      </c>
      <c r="Y75" s="37" t="e">
        <f>AVERAGE(Y3:Y18)</f>
        <v>#VALUE!</v>
      </c>
      <c r="Z75" s="42" t="e">
        <f t="shared" si="17"/>
        <v>#VALUE!</v>
      </c>
      <c r="AA75" s="43" t="e">
        <f t="shared" si="17"/>
        <v>#VALUE!</v>
      </c>
    </row>
    <row r="76" spans="1:27" x14ac:dyDescent="0.2">
      <c r="B76" s="89" t="s">
        <v>47</v>
      </c>
      <c r="I76" s="15">
        <f>GEOMEAN(I19:I34)</f>
        <v>26.601945077723059</v>
      </c>
      <c r="J76" s="15">
        <f>GEOMEAN(J19:J34)</f>
        <v>40.495352882149085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#NUM!</v>
      </c>
      <c r="T76" s="15" t="e">
        <f>GEOMEAN(T19:T34)</f>
        <v>#NUM!</v>
      </c>
      <c r="V76" s="38" t="e">
        <f>AVERAGE(V19:V34)</f>
        <v>#VALUE!</v>
      </c>
      <c r="W76" s="25" t="e">
        <f t="shared" ref="W76:AA76" si="18">AVERAGE(W19:W34)</f>
        <v>#VALUE!</v>
      </c>
      <c r="X76" s="25" t="e">
        <f t="shared" si="18"/>
        <v>#VALUE!</v>
      </c>
      <c r="Y76" s="38" t="e">
        <f t="shared" si="18"/>
        <v>#VALUE!</v>
      </c>
      <c r="Z76" s="25" t="e">
        <f t="shared" si="18"/>
        <v>#VALUE!</v>
      </c>
      <c r="AA76" s="50" t="e">
        <f t="shared" si="18"/>
        <v>#VALUE!</v>
      </c>
    </row>
    <row r="77" spans="1:27" x14ac:dyDescent="0.2">
      <c r="B77" s="89" t="s">
        <v>51</v>
      </c>
      <c r="I77" s="15">
        <f>GEOMEAN(I35:I50)</f>
        <v>8.8283944257519611</v>
      </c>
      <c r="J77" s="15">
        <f>GEOMEAN(J35:J50)</f>
        <v>12.096698732416719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#NUM!</v>
      </c>
      <c r="T77" s="15" t="e">
        <f>GEOMEAN(T35:T50)</f>
        <v>#NUM!</v>
      </c>
      <c r="V77" s="38" t="e">
        <f>AVERAGE(V35:V50)</f>
        <v>#VALUE!</v>
      </c>
      <c r="W77" s="25" t="e">
        <f t="shared" ref="W77:AA77" si="19">AVERAGE(W35:W50)</f>
        <v>#VALUE!</v>
      </c>
      <c r="X77" s="25" t="e">
        <f t="shared" si="19"/>
        <v>#VALUE!</v>
      </c>
      <c r="Y77" s="38" t="e">
        <f t="shared" si="19"/>
        <v>#VALUE!</v>
      </c>
      <c r="Z77" s="25" t="e">
        <f t="shared" si="19"/>
        <v>#VALUE!</v>
      </c>
      <c r="AA77" s="50" t="e">
        <f t="shared" si="19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38" t="e">
        <f>AVERAGE(V51:V58)</f>
        <v>#VALUE!</v>
      </c>
      <c r="W78" s="25" t="e">
        <f t="shared" ref="W78:AA78" si="20">AVERAGE(W51:W58)</f>
        <v>#VALUE!</v>
      </c>
      <c r="X78" s="25" t="e">
        <f t="shared" si="20"/>
        <v>#VALUE!</v>
      </c>
      <c r="Y78" s="38" t="e">
        <f t="shared" si="20"/>
        <v>#VALUE!</v>
      </c>
      <c r="Z78" s="25" t="e">
        <f t="shared" si="20"/>
        <v>#VALUE!</v>
      </c>
      <c r="AA78" s="50" t="e">
        <f t="shared" si="20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21">GEOMEAN(S59:S74)</f>
        <v>#DIV/0!</v>
      </c>
      <c r="T79" s="15" t="e">
        <f t="shared" si="21"/>
        <v>#DIV/0!</v>
      </c>
      <c r="V79" s="40" t="e">
        <f>AVERAGE(V59:V74)</f>
        <v>#VALUE!</v>
      </c>
      <c r="W79" s="44" t="e">
        <f t="shared" ref="W79:AA79" si="22">AVERAGE(W59:W74)</f>
        <v>#VALUE!</v>
      </c>
      <c r="X79" s="44" t="e">
        <f t="shared" si="22"/>
        <v>#VALUE!</v>
      </c>
      <c r="Y79" s="40" t="e">
        <f t="shared" si="22"/>
        <v>#VALUE!</v>
      </c>
      <c r="Z79" s="44" t="e">
        <f t="shared" si="22"/>
        <v>#VALUE!</v>
      </c>
      <c r="AA79" s="45" t="e">
        <f t="shared" si="22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>
        <f xml:space="preserve"> GEOMEAN(I3:I50)</f>
        <v>17.248169301724641</v>
      </c>
      <c r="J80" s="54">
        <f xml:space="preserve"> GEOMEAN(J3:J50)</f>
        <v>24.96150154608792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#NUM!</v>
      </c>
      <c r="T80" s="54" t="e">
        <f>GEOMEAN(T3:T50)</f>
        <v>#NUM!</v>
      </c>
      <c r="U80" s="4"/>
      <c r="V80" s="41" t="e">
        <f>AVERAGE(V3:V50)</f>
        <v>#VALUE!</v>
      </c>
      <c r="W80" s="46" t="e">
        <f t="shared" ref="W80:AA80" si="23">AVERAGE(W3:W50)</f>
        <v>#VALUE!</v>
      </c>
      <c r="X80" s="47" t="e">
        <f t="shared" si="23"/>
        <v>#VALUE!</v>
      </c>
      <c r="Y80" s="46" t="e">
        <f t="shared" si="23"/>
        <v>#VALUE!</v>
      </c>
      <c r="Z80" s="46" t="e">
        <f t="shared" si="23"/>
        <v>#VALUE!</v>
      </c>
      <c r="AA80" s="47" t="e">
        <f t="shared" si="23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6:Z6">
    <cfRule type="cellIs" dxfId="367" priority="619" operator="greaterThan">
      <formula>0.03</formula>
    </cfRule>
    <cfRule type="cellIs" dxfId="366" priority="620" stopIfTrue="1" operator="lessThan">
      <formula>-0.03</formula>
    </cfRule>
  </conditionalFormatting>
  <conditionalFormatting sqref="Y14:Z14">
    <cfRule type="cellIs" dxfId="365" priority="615" operator="greaterThan">
      <formula>0.03</formula>
    </cfRule>
    <cfRule type="cellIs" dxfId="364" priority="616" stopIfTrue="1" operator="lessThan">
      <formula>-0.03</formula>
    </cfRule>
  </conditionalFormatting>
  <conditionalFormatting sqref="Y26:Z26">
    <cfRule type="cellIs" dxfId="363" priority="517" operator="greaterThan">
      <formula>0.03</formula>
    </cfRule>
    <cfRule type="cellIs" dxfId="362" priority="518" stopIfTrue="1" operator="lessThan">
      <formula>-0.03</formula>
    </cfRule>
  </conditionalFormatting>
  <conditionalFormatting sqref="Y18:Z18">
    <cfRule type="cellIs" dxfId="361" priority="521" operator="greaterThan">
      <formula>0.03</formula>
    </cfRule>
    <cfRule type="cellIs" dxfId="360" priority="522" stopIfTrue="1" operator="lessThan">
      <formula>-0.03</formula>
    </cfRule>
  </conditionalFormatting>
  <conditionalFormatting sqref="Y22:Z22">
    <cfRule type="cellIs" dxfId="359" priority="519" operator="greaterThan">
      <formula>0.03</formula>
    </cfRule>
    <cfRule type="cellIs" dxfId="358" priority="520" stopIfTrue="1" operator="lessThan">
      <formula>-0.03</formula>
    </cfRule>
  </conditionalFormatting>
  <conditionalFormatting sqref="Z35">
    <cfRule type="cellIs" dxfId="357" priority="443" operator="greaterThan">
      <formula>0.03</formula>
    </cfRule>
    <cfRule type="cellIs" dxfId="356" priority="444" stopIfTrue="1" operator="lessThan">
      <formula>-0.03</formula>
    </cfRule>
  </conditionalFormatting>
  <conditionalFormatting sqref="Y31">
    <cfRule type="cellIs" dxfId="355" priority="451" operator="greaterThan">
      <formula>0.03</formula>
    </cfRule>
    <cfRule type="cellIs" dxfId="354" priority="452" stopIfTrue="1" operator="lessThan">
      <formula>-0.03</formula>
    </cfRule>
  </conditionalFormatting>
  <conditionalFormatting sqref="AA27">
    <cfRule type="cellIs" dxfId="353" priority="467" operator="greaterThan">
      <formula>0.03</formula>
    </cfRule>
    <cfRule type="cellIs" dxfId="352" priority="468" stopIfTrue="1" operator="lessThan">
      <formula>-0.03</formula>
    </cfRule>
  </conditionalFormatting>
  <conditionalFormatting sqref="Y30:Z30">
    <cfRule type="cellIs" dxfId="351" priority="465" operator="greaterThan">
      <formula>0.03</formula>
    </cfRule>
    <cfRule type="cellIs" dxfId="350" priority="466" stopIfTrue="1" operator="lessThan">
      <formula>-0.03</formula>
    </cfRule>
  </conditionalFormatting>
  <conditionalFormatting sqref="AA35">
    <cfRule type="cellIs" dxfId="349" priority="441" operator="greaterThan">
      <formula>0.03</formula>
    </cfRule>
    <cfRule type="cellIs" dxfId="348" priority="442" stopIfTrue="1" operator="lessThan">
      <formula>-0.03</formula>
    </cfRule>
  </conditionalFormatting>
  <conditionalFormatting sqref="Y34:Z34">
    <cfRule type="cellIs" dxfId="347" priority="439" operator="greaterThan">
      <formula>0.03</formula>
    </cfRule>
    <cfRule type="cellIs" dxfId="346" priority="440" stopIfTrue="1" operator="lessThan">
      <formula>-0.03</formula>
    </cfRule>
  </conditionalFormatting>
  <conditionalFormatting sqref="Y38:Z38">
    <cfRule type="cellIs" dxfId="345" priority="437" operator="greaterThan">
      <formula>0.03</formula>
    </cfRule>
    <cfRule type="cellIs" dxfId="344" priority="438" stopIfTrue="1" operator="lessThan">
      <formula>-0.03</formula>
    </cfRule>
  </conditionalFormatting>
  <conditionalFormatting sqref="V31:X38">
    <cfRule type="cellIs" dxfId="343" priority="453" operator="greaterThan">
      <formula>0.03</formula>
    </cfRule>
    <cfRule type="cellIs" dxfId="342" priority="454" stopIfTrue="1" operator="lessThan">
      <formula>-0.03</formula>
    </cfRule>
  </conditionalFormatting>
  <conditionalFormatting sqref="Z31">
    <cfRule type="cellIs" dxfId="341" priority="449" operator="greaterThan">
      <formula>0.03</formula>
    </cfRule>
    <cfRule type="cellIs" dxfId="340" priority="450" stopIfTrue="1" operator="lessThan">
      <formula>-0.03</formula>
    </cfRule>
  </conditionalFormatting>
  <conditionalFormatting sqref="AA31">
    <cfRule type="cellIs" dxfId="339" priority="447" operator="greaterThan">
      <formula>0.03</formula>
    </cfRule>
    <cfRule type="cellIs" dxfId="338" priority="448" stopIfTrue="1" operator="lessThan">
      <formula>-0.03</formula>
    </cfRule>
  </conditionalFormatting>
  <conditionalFormatting sqref="Y35">
    <cfRule type="cellIs" dxfId="337" priority="445" operator="greaterThan">
      <formula>0.03</formula>
    </cfRule>
    <cfRule type="cellIs" dxfId="336" priority="446" stopIfTrue="1" operator="lessThan">
      <formula>-0.03</formula>
    </cfRule>
  </conditionalFormatting>
  <conditionalFormatting sqref="V39:X46">
    <cfRule type="cellIs" dxfId="335" priority="415" operator="greaterThan">
      <formula>0.03</formula>
    </cfRule>
    <cfRule type="cellIs" dxfId="334" priority="416" stopIfTrue="1" operator="lessThan">
      <formula>-0.03</formula>
    </cfRule>
  </conditionalFormatting>
  <conditionalFormatting sqref="Y39">
    <cfRule type="cellIs" dxfId="333" priority="413" operator="greaterThan">
      <formula>0.03</formula>
    </cfRule>
    <cfRule type="cellIs" dxfId="332" priority="414" stopIfTrue="1" operator="lessThan">
      <formula>-0.03</formula>
    </cfRule>
  </conditionalFormatting>
  <conditionalFormatting sqref="Z39">
    <cfRule type="cellIs" dxfId="331" priority="411" operator="greaterThan">
      <formula>0.03</formula>
    </cfRule>
    <cfRule type="cellIs" dxfId="330" priority="412" stopIfTrue="1" operator="lessThan">
      <formula>-0.03</formula>
    </cfRule>
  </conditionalFormatting>
  <conditionalFormatting sqref="AA39">
    <cfRule type="cellIs" dxfId="329" priority="409" operator="greaterThan">
      <formula>0.03</formula>
    </cfRule>
    <cfRule type="cellIs" dxfId="328" priority="410" stopIfTrue="1" operator="lessThan">
      <formula>-0.03</formula>
    </cfRule>
  </conditionalFormatting>
  <conditionalFormatting sqref="Y43">
    <cfRule type="cellIs" dxfId="327" priority="407" operator="greaterThan">
      <formula>0.03</formula>
    </cfRule>
    <cfRule type="cellIs" dxfId="326" priority="408" stopIfTrue="1" operator="lessThan">
      <formula>-0.03</formula>
    </cfRule>
  </conditionalFormatting>
  <conditionalFormatting sqref="Z43">
    <cfRule type="cellIs" dxfId="325" priority="405" operator="greaterThan">
      <formula>0.03</formula>
    </cfRule>
    <cfRule type="cellIs" dxfId="324" priority="406" stopIfTrue="1" operator="lessThan">
      <formula>-0.03</formula>
    </cfRule>
  </conditionalFormatting>
  <conditionalFormatting sqref="AA43">
    <cfRule type="cellIs" dxfId="323" priority="403" operator="greaterThan">
      <formula>0.03</formula>
    </cfRule>
    <cfRule type="cellIs" dxfId="322" priority="404" stopIfTrue="1" operator="lessThan">
      <formula>-0.03</formula>
    </cfRule>
  </conditionalFormatting>
  <conditionalFormatting sqref="Y42:Z42">
    <cfRule type="cellIs" dxfId="321" priority="401" operator="greaterThan">
      <formula>0.03</formula>
    </cfRule>
    <cfRule type="cellIs" dxfId="320" priority="402" stopIfTrue="1" operator="lessThan">
      <formula>-0.03</formula>
    </cfRule>
  </conditionalFormatting>
  <conditionalFormatting sqref="Y46:Z46">
    <cfRule type="cellIs" dxfId="319" priority="399" operator="greaterThan">
      <formula>0.03</formula>
    </cfRule>
    <cfRule type="cellIs" dxfId="318" priority="400" stopIfTrue="1" operator="lessThan">
      <formula>-0.03</formula>
    </cfRule>
  </conditionalFormatting>
  <conditionalFormatting sqref="V47:X58">
    <cfRule type="cellIs" dxfId="317" priority="377" operator="greaterThan">
      <formula>0.03</formula>
    </cfRule>
    <cfRule type="cellIs" dxfId="316" priority="378" stopIfTrue="1" operator="lessThan">
      <formula>-0.03</formula>
    </cfRule>
  </conditionalFormatting>
  <conditionalFormatting sqref="Y47">
    <cfRule type="cellIs" dxfId="315" priority="375" operator="greaterThan">
      <formula>0.03</formula>
    </cfRule>
    <cfRule type="cellIs" dxfId="314" priority="376" stopIfTrue="1" operator="lessThan">
      <formula>-0.03</formula>
    </cfRule>
  </conditionalFormatting>
  <conditionalFormatting sqref="Z47">
    <cfRule type="cellIs" dxfId="313" priority="373" operator="greaterThan">
      <formula>0.03</formula>
    </cfRule>
    <cfRule type="cellIs" dxfId="312" priority="374" stopIfTrue="1" operator="lessThan">
      <formula>-0.03</formula>
    </cfRule>
  </conditionalFormatting>
  <conditionalFormatting sqref="AA47">
    <cfRule type="cellIs" dxfId="311" priority="371" operator="greaterThan">
      <formula>0.03</formula>
    </cfRule>
    <cfRule type="cellIs" dxfId="310" priority="372" stopIfTrue="1" operator="lessThan">
      <formula>-0.03</formula>
    </cfRule>
  </conditionalFormatting>
  <conditionalFormatting sqref="Y51">
    <cfRule type="cellIs" dxfId="309" priority="369" operator="greaterThan">
      <formula>0.03</formula>
    </cfRule>
    <cfRule type="cellIs" dxfId="308" priority="370" stopIfTrue="1" operator="lessThan">
      <formula>-0.03</formula>
    </cfRule>
  </conditionalFormatting>
  <conditionalFormatting sqref="Z51">
    <cfRule type="cellIs" dxfId="307" priority="367" operator="greaterThan">
      <formula>0.03</formula>
    </cfRule>
    <cfRule type="cellIs" dxfId="306" priority="368" stopIfTrue="1" operator="lessThan">
      <formula>-0.03</formula>
    </cfRule>
  </conditionalFormatting>
  <conditionalFormatting sqref="AA51">
    <cfRule type="cellIs" dxfId="305" priority="365" operator="greaterThan">
      <formula>0.03</formula>
    </cfRule>
    <cfRule type="cellIs" dxfId="304" priority="366" stopIfTrue="1" operator="lessThan">
      <formula>-0.03</formula>
    </cfRule>
  </conditionalFormatting>
  <conditionalFormatting sqref="Y55">
    <cfRule type="cellIs" dxfId="303" priority="363" operator="greaterThan">
      <formula>0.03</formula>
    </cfRule>
    <cfRule type="cellIs" dxfId="302" priority="364" stopIfTrue="1" operator="lessThan">
      <formula>-0.03</formula>
    </cfRule>
  </conditionalFormatting>
  <conditionalFormatting sqref="Z55">
    <cfRule type="cellIs" dxfId="301" priority="361" operator="greaterThan">
      <formula>0.03</formula>
    </cfRule>
    <cfRule type="cellIs" dxfId="300" priority="362" stopIfTrue="1" operator="lessThan">
      <formula>-0.03</formula>
    </cfRule>
  </conditionalFormatting>
  <conditionalFormatting sqref="AA55">
    <cfRule type="cellIs" dxfId="299" priority="359" operator="greaterThan">
      <formula>0.03</formula>
    </cfRule>
    <cfRule type="cellIs" dxfId="298" priority="360" stopIfTrue="1" operator="lessThan">
      <formula>-0.03</formula>
    </cfRule>
  </conditionalFormatting>
  <conditionalFormatting sqref="Y50:Z50">
    <cfRule type="cellIs" dxfId="297" priority="351" operator="greaterThan">
      <formula>0.03</formula>
    </cfRule>
    <cfRule type="cellIs" dxfId="296" priority="352" stopIfTrue="1" operator="lessThan">
      <formula>-0.03</formula>
    </cfRule>
  </conditionalFormatting>
  <conditionalFormatting sqref="Y54:Z54">
    <cfRule type="cellIs" dxfId="295" priority="349" operator="greaterThan">
      <formula>0.03</formula>
    </cfRule>
    <cfRule type="cellIs" dxfId="294" priority="350" stopIfTrue="1" operator="lessThan">
      <formula>-0.03</formula>
    </cfRule>
  </conditionalFormatting>
  <conditionalFormatting sqref="Y58:Z58">
    <cfRule type="cellIs" dxfId="293" priority="347" operator="greaterThan">
      <formula>0.03</formula>
    </cfRule>
    <cfRule type="cellIs" dxfId="292" priority="348" stopIfTrue="1" operator="lessThan">
      <formula>-0.03</formula>
    </cfRule>
  </conditionalFormatting>
  <conditionalFormatting sqref="V4:X6 V8:X10 V12:X14">
    <cfRule type="cellIs" dxfId="291" priority="645" operator="greaterThan">
      <formula>0.03</formula>
    </cfRule>
    <cfRule type="cellIs" dxfId="290" priority="646" stopIfTrue="1" operator="lessThan">
      <formula>-0.03</formula>
    </cfRule>
  </conditionalFormatting>
  <conditionalFormatting sqref="Y10:Z10">
    <cfRule type="cellIs" dxfId="289" priority="617" operator="greaterThan">
      <formula>0.03</formula>
    </cfRule>
    <cfRule type="cellIs" dxfId="288" priority="618" stopIfTrue="1" operator="lessThan">
      <formula>-0.03</formula>
    </cfRule>
  </conditionalFormatting>
  <conditionalFormatting sqref="V16:X18 V20:X22 V24:X26">
    <cfRule type="cellIs" dxfId="287" priority="547" operator="greaterThan">
      <formula>0.03</formula>
    </cfRule>
    <cfRule type="cellIs" dxfId="286" priority="548" stopIfTrue="1" operator="lessThan">
      <formula>-0.03</formula>
    </cfRule>
  </conditionalFormatting>
  <conditionalFormatting sqref="V27:X30">
    <cfRule type="cellIs" dxfId="285" priority="473" operator="greaterThan">
      <formula>0.03</formula>
    </cfRule>
    <cfRule type="cellIs" dxfId="284" priority="474" stopIfTrue="1" operator="lessThan">
      <formula>-0.03</formula>
    </cfRule>
  </conditionalFormatting>
  <conditionalFormatting sqref="Y27">
    <cfRule type="cellIs" dxfId="283" priority="471" operator="greaterThan">
      <formula>0.03</formula>
    </cfRule>
    <cfRule type="cellIs" dxfId="282" priority="472" stopIfTrue="1" operator="lessThan">
      <formula>-0.03</formula>
    </cfRule>
  </conditionalFormatting>
  <conditionalFormatting sqref="Z27">
    <cfRule type="cellIs" dxfId="281" priority="469" operator="greaterThan">
      <formula>0.03</formula>
    </cfRule>
    <cfRule type="cellIs" dxfId="280" priority="470" stopIfTrue="1" operator="lessThan">
      <formula>-0.03</formula>
    </cfRule>
  </conditionalFormatting>
  <conditionalFormatting sqref="Y3">
    <cfRule type="cellIs" dxfId="279" priority="87" operator="greaterThan">
      <formula>0.03</formula>
    </cfRule>
    <cfRule type="cellIs" dxfId="278" priority="88" stopIfTrue="1" operator="lessThan">
      <formula>-0.03</formula>
    </cfRule>
  </conditionalFormatting>
  <conditionalFormatting sqref="V7:X7">
    <cfRule type="cellIs" dxfId="277" priority="81" operator="greaterThan">
      <formula>0.03</formula>
    </cfRule>
    <cfRule type="cellIs" dxfId="276" priority="82" stopIfTrue="1" operator="lessThan">
      <formula>-0.03</formula>
    </cfRule>
  </conditionalFormatting>
  <conditionalFormatting sqref="V3:X3">
    <cfRule type="cellIs" dxfId="275" priority="89" operator="greaterThan">
      <formula>0.03</formula>
    </cfRule>
    <cfRule type="cellIs" dxfId="274" priority="90" stopIfTrue="1" operator="lessThan">
      <formula>-0.03</formula>
    </cfRule>
  </conditionalFormatting>
  <conditionalFormatting sqref="V80:AA80">
    <cfRule type="cellIs" dxfId="273" priority="91" operator="greaterThan">
      <formula>0.03</formula>
    </cfRule>
    <cfRule type="cellIs" dxfId="272" priority="92" stopIfTrue="1" operator="lessThan">
      <formula>-0.03</formula>
    </cfRule>
  </conditionalFormatting>
  <conditionalFormatting sqref="AA3">
    <cfRule type="cellIs" dxfId="271" priority="83" operator="greaterThan">
      <formula>0.03</formula>
    </cfRule>
    <cfRule type="cellIs" dxfId="270" priority="84" stopIfTrue="1" operator="lessThan">
      <formula>-0.03</formula>
    </cfRule>
  </conditionalFormatting>
  <conditionalFormatting sqref="Y7">
    <cfRule type="cellIs" dxfId="269" priority="79" operator="greaterThan">
      <formula>0.03</formula>
    </cfRule>
    <cfRule type="cellIs" dxfId="268" priority="80" stopIfTrue="1" operator="lessThan">
      <formula>-0.03</formula>
    </cfRule>
  </conditionalFormatting>
  <conditionalFormatting sqref="Z7">
    <cfRule type="cellIs" dxfId="267" priority="77" operator="greaterThan">
      <formula>0.03</formula>
    </cfRule>
    <cfRule type="cellIs" dxfId="266" priority="78" stopIfTrue="1" operator="lessThan">
      <formula>-0.03</formula>
    </cfRule>
  </conditionalFormatting>
  <conditionalFormatting sqref="AA7">
    <cfRule type="cellIs" dxfId="265" priority="75" operator="greaterThan">
      <formula>0.03</formula>
    </cfRule>
    <cfRule type="cellIs" dxfId="264" priority="76" stopIfTrue="1" operator="lessThan">
      <formula>-0.03</formula>
    </cfRule>
  </conditionalFormatting>
  <conditionalFormatting sqref="V75:X78">
    <cfRule type="cellIs" dxfId="263" priority="95" operator="greaterThan">
      <formula>0.03</formula>
    </cfRule>
    <cfRule type="cellIs" dxfId="262" priority="96" stopIfTrue="1" operator="lessThan">
      <formula>-0.03</formula>
    </cfRule>
  </conditionalFormatting>
  <conditionalFormatting sqref="Y75:AA78">
    <cfRule type="cellIs" dxfId="261" priority="93" operator="greaterThan">
      <formula>0.03</formula>
    </cfRule>
    <cfRule type="cellIs" dxfId="260" priority="94" stopIfTrue="1" operator="lessThan">
      <formula>-0.03</formula>
    </cfRule>
  </conditionalFormatting>
  <conditionalFormatting sqref="Z3">
    <cfRule type="cellIs" dxfId="259" priority="85" operator="greaterThan">
      <formula>0.03</formula>
    </cfRule>
    <cfRule type="cellIs" dxfId="258" priority="86" stopIfTrue="1" operator="lessThan">
      <formula>-0.03</formula>
    </cfRule>
  </conditionalFormatting>
  <conditionalFormatting sqref="V11:X11">
    <cfRule type="cellIs" dxfId="257" priority="73" operator="greaterThan">
      <formula>0.03</formula>
    </cfRule>
    <cfRule type="cellIs" dxfId="256" priority="74" stopIfTrue="1" operator="lessThan">
      <formula>-0.03</formula>
    </cfRule>
  </conditionalFormatting>
  <conditionalFormatting sqref="Z23">
    <cfRule type="cellIs" dxfId="255" priority="45" operator="greaterThan">
      <formula>0.03</formula>
    </cfRule>
    <cfRule type="cellIs" dxfId="254" priority="46" stopIfTrue="1" operator="lessThan">
      <formula>-0.03</formula>
    </cfRule>
  </conditionalFormatting>
  <conditionalFormatting sqref="AA23">
    <cfRule type="cellIs" dxfId="253" priority="43" operator="greaterThan">
      <formula>0.03</formula>
    </cfRule>
    <cfRule type="cellIs" dxfId="252" priority="44" stopIfTrue="1" operator="lessThan">
      <formula>-0.03</formula>
    </cfRule>
  </conditionalFormatting>
  <conditionalFormatting sqref="AA11">
    <cfRule type="cellIs" dxfId="251" priority="67" operator="greaterThan">
      <formula>0.03</formula>
    </cfRule>
    <cfRule type="cellIs" dxfId="250" priority="68" stopIfTrue="1" operator="lessThan">
      <formula>-0.03</formula>
    </cfRule>
  </conditionalFormatting>
  <conditionalFormatting sqref="Y11">
    <cfRule type="cellIs" dxfId="249" priority="71" operator="greaterThan">
      <formula>0.03</formula>
    </cfRule>
    <cfRule type="cellIs" dxfId="248" priority="72" stopIfTrue="1" operator="lessThan">
      <formula>-0.03</formula>
    </cfRule>
  </conditionalFormatting>
  <conditionalFormatting sqref="Z11">
    <cfRule type="cellIs" dxfId="247" priority="69" operator="greaterThan">
      <formula>0.03</formula>
    </cfRule>
    <cfRule type="cellIs" dxfId="246" priority="70" stopIfTrue="1" operator="lessThan">
      <formula>-0.03</formula>
    </cfRule>
  </conditionalFormatting>
  <conditionalFormatting sqref="AA15">
    <cfRule type="cellIs" dxfId="245" priority="59" operator="greaterThan">
      <formula>0.03</formula>
    </cfRule>
    <cfRule type="cellIs" dxfId="244" priority="60" stopIfTrue="1" operator="lessThan">
      <formula>-0.03</formula>
    </cfRule>
  </conditionalFormatting>
  <conditionalFormatting sqref="V15:X15">
    <cfRule type="cellIs" dxfId="243" priority="65" operator="greaterThan">
      <formula>0.03</formula>
    </cfRule>
    <cfRule type="cellIs" dxfId="242" priority="66" stopIfTrue="1" operator="lessThan">
      <formula>-0.03</formula>
    </cfRule>
  </conditionalFormatting>
  <conditionalFormatting sqref="Y15">
    <cfRule type="cellIs" dxfId="241" priority="63" operator="greaterThan">
      <formula>0.03</formula>
    </cfRule>
    <cfRule type="cellIs" dxfId="240" priority="64" stopIfTrue="1" operator="lessThan">
      <formula>-0.03</formula>
    </cfRule>
  </conditionalFormatting>
  <conditionalFormatting sqref="Z15">
    <cfRule type="cellIs" dxfId="239" priority="61" operator="greaterThan">
      <formula>0.03</formula>
    </cfRule>
    <cfRule type="cellIs" dxfId="238" priority="62" stopIfTrue="1" operator="lessThan">
      <formula>-0.03</formula>
    </cfRule>
  </conditionalFormatting>
  <conditionalFormatting sqref="AA19">
    <cfRule type="cellIs" dxfId="237" priority="51" operator="greaterThan">
      <formula>0.03</formula>
    </cfRule>
    <cfRule type="cellIs" dxfId="236" priority="52" stopIfTrue="1" operator="lessThan">
      <formula>-0.03</formula>
    </cfRule>
  </conditionalFormatting>
  <conditionalFormatting sqref="V19:X19">
    <cfRule type="cellIs" dxfId="235" priority="57" operator="greaterThan">
      <formula>0.03</formula>
    </cfRule>
    <cfRule type="cellIs" dxfId="234" priority="58" stopIfTrue="1" operator="lessThan">
      <formula>-0.03</formula>
    </cfRule>
  </conditionalFormatting>
  <conditionalFormatting sqref="Y19">
    <cfRule type="cellIs" dxfId="233" priority="55" operator="greaterThan">
      <formula>0.03</formula>
    </cfRule>
    <cfRule type="cellIs" dxfId="232" priority="56" stopIfTrue="1" operator="lessThan">
      <formula>-0.03</formula>
    </cfRule>
  </conditionalFormatting>
  <conditionalFormatting sqref="Z19">
    <cfRule type="cellIs" dxfId="231" priority="53" operator="greaterThan">
      <formula>0.03</formula>
    </cfRule>
    <cfRule type="cellIs" dxfId="230" priority="54" stopIfTrue="1" operator="lessThan">
      <formula>-0.03</formula>
    </cfRule>
  </conditionalFormatting>
  <conditionalFormatting sqref="V23:X23">
    <cfRule type="cellIs" dxfId="229" priority="49" operator="greaterThan">
      <formula>0.03</formula>
    </cfRule>
    <cfRule type="cellIs" dxfId="228" priority="50" stopIfTrue="1" operator="lessThan">
      <formula>-0.03</formula>
    </cfRule>
  </conditionalFormatting>
  <conditionalFormatting sqref="Y23">
    <cfRule type="cellIs" dxfId="227" priority="47" operator="greaterThan">
      <formula>0.03</formula>
    </cfRule>
    <cfRule type="cellIs" dxfId="226" priority="48" stopIfTrue="1" operator="lessThan">
      <formula>-0.03</formula>
    </cfRule>
  </conditionalFormatting>
  <conditionalFormatting sqref="Z59">
    <cfRule type="cellIs" dxfId="225" priority="37" operator="greaterThan">
      <formula>0.03</formula>
    </cfRule>
    <cfRule type="cellIs" dxfId="224" priority="38" stopIfTrue="1" operator="lessThan">
      <formula>-0.03</formula>
    </cfRule>
  </conditionalFormatting>
  <conditionalFormatting sqref="AA59">
    <cfRule type="cellIs" dxfId="223" priority="35" operator="greaterThan">
      <formula>0.03</formula>
    </cfRule>
    <cfRule type="cellIs" dxfId="222" priority="36" stopIfTrue="1" operator="lessThan">
      <formula>-0.03</formula>
    </cfRule>
  </conditionalFormatting>
  <conditionalFormatting sqref="Y62:Z62">
    <cfRule type="cellIs" dxfId="221" priority="33" operator="greaterThan">
      <formula>0.03</formula>
    </cfRule>
    <cfRule type="cellIs" dxfId="220" priority="34" stopIfTrue="1" operator="lessThan">
      <formula>-0.03</formula>
    </cfRule>
  </conditionalFormatting>
  <conditionalFormatting sqref="V59:X62">
    <cfRule type="cellIs" dxfId="219" priority="41" operator="greaterThan">
      <formula>0.03</formula>
    </cfRule>
    <cfRule type="cellIs" dxfId="218" priority="42" stopIfTrue="1" operator="lessThan">
      <formula>-0.03</formula>
    </cfRule>
  </conditionalFormatting>
  <conditionalFormatting sqref="Y59">
    <cfRule type="cellIs" dxfId="217" priority="39" operator="greaterThan">
      <formula>0.03</formula>
    </cfRule>
    <cfRule type="cellIs" dxfId="216" priority="40" stopIfTrue="1" operator="lessThan">
      <formula>-0.03</formula>
    </cfRule>
  </conditionalFormatting>
  <conditionalFormatting sqref="V63:X70">
    <cfRule type="cellIs" dxfId="215" priority="31" operator="greaterThan">
      <formula>0.03</formula>
    </cfRule>
    <cfRule type="cellIs" dxfId="214" priority="32" stopIfTrue="1" operator="lessThan">
      <formula>-0.03</formula>
    </cfRule>
  </conditionalFormatting>
  <conditionalFormatting sqref="Y63">
    <cfRule type="cellIs" dxfId="213" priority="29" operator="greaterThan">
      <formula>0.03</formula>
    </cfRule>
    <cfRule type="cellIs" dxfId="212" priority="30" stopIfTrue="1" operator="lessThan">
      <formula>-0.03</formula>
    </cfRule>
  </conditionalFormatting>
  <conditionalFormatting sqref="Z63">
    <cfRule type="cellIs" dxfId="211" priority="27" operator="greaterThan">
      <formula>0.03</formula>
    </cfRule>
    <cfRule type="cellIs" dxfId="210" priority="28" stopIfTrue="1" operator="lessThan">
      <formula>-0.03</formula>
    </cfRule>
  </conditionalFormatting>
  <conditionalFormatting sqref="AA63">
    <cfRule type="cellIs" dxfId="209" priority="25" operator="greaterThan">
      <formula>0.03</formula>
    </cfRule>
    <cfRule type="cellIs" dxfId="208" priority="26" stopIfTrue="1" operator="lessThan">
      <formula>-0.03</formula>
    </cfRule>
  </conditionalFormatting>
  <conditionalFormatting sqref="Y67">
    <cfRule type="cellIs" dxfId="207" priority="23" operator="greaterThan">
      <formula>0.03</formula>
    </cfRule>
    <cfRule type="cellIs" dxfId="206" priority="24" stopIfTrue="1" operator="lessThan">
      <formula>-0.03</formula>
    </cfRule>
  </conditionalFormatting>
  <conditionalFormatting sqref="Z67">
    <cfRule type="cellIs" dxfId="205" priority="21" operator="greaterThan">
      <formula>0.03</formula>
    </cfRule>
    <cfRule type="cellIs" dxfId="204" priority="22" stopIfTrue="1" operator="lessThan">
      <formula>-0.03</formula>
    </cfRule>
  </conditionalFormatting>
  <conditionalFormatting sqref="AA67">
    <cfRule type="cellIs" dxfId="203" priority="19" operator="greaterThan">
      <formula>0.03</formula>
    </cfRule>
    <cfRule type="cellIs" dxfId="202" priority="20" stopIfTrue="1" operator="lessThan">
      <formula>-0.03</formula>
    </cfRule>
  </conditionalFormatting>
  <conditionalFormatting sqref="Y66:Z66">
    <cfRule type="cellIs" dxfId="201" priority="17" operator="greaterThan">
      <formula>0.03</formula>
    </cfRule>
    <cfRule type="cellIs" dxfId="200" priority="18" stopIfTrue="1" operator="lessThan">
      <formula>-0.03</formula>
    </cfRule>
  </conditionalFormatting>
  <conditionalFormatting sqref="Y70:Z70">
    <cfRule type="cellIs" dxfId="199" priority="15" operator="greaterThan">
      <formula>0.03</formula>
    </cfRule>
    <cfRule type="cellIs" dxfId="198" priority="16" stopIfTrue="1" operator="lessThan">
      <formula>-0.03</formula>
    </cfRule>
  </conditionalFormatting>
  <conditionalFormatting sqref="V71:X74">
    <cfRule type="cellIs" dxfId="197" priority="13" operator="greaterThan">
      <formula>0.03</formula>
    </cfRule>
    <cfRule type="cellIs" dxfId="196" priority="14" stopIfTrue="1" operator="lessThan">
      <formula>-0.03</formula>
    </cfRule>
  </conditionalFormatting>
  <conditionalFormatting sqref="Y71">
    <cfRule type="cellIs" dxfId="195" priority="11" operator="greaterThan">
      <formula>0.03</formula>
    </cfRule>
    <cfRule type="cellIs" dxfId="194" priority="12" stopIfTrue="1" operator="lessThan">
      <formula>-0.03</formula>
    </cfRule>
  </conditionalFormatting>
  <conditionalFormatting sqref="Z71">
    <cfRule type="cellIs" dxfId="193" priority="9" operator="greaterThan">
      <formula>0.03</formula>
    </cfRule>
    <cfRule type="cellIs" dxfId="192" priority="10" stopIfTrue="1" operator="lessThan">
      <formula>-0.03</formula>
    </cfRule>
  </conditionalFormatting>
  <conditionalFormatting sqref="AA71">
    <cfRule type="cellIs" dxfId="191" priority="7" operator="greaterThan">
      <formula>0.03</formula>
    </cfRule>
    <cfRule type="cellIs" dxfId="190" priority="8" stopIfTrue="1" operator="lessThan">
      <formula>-0.03</formula>
    </cfRule>
  </conditionalFormatting>
  <conditionalFormatting sqref="Y74:Z74">
    <cfRule type="cellIs" dxfId="189" priority="5" operator="greaterThan">
      <formula>0.03</formula>
    </cfRule>
    <cfRule type="cellIs" dxfId="188" priority="6" stopIfTrue="1" operator="lessThan">
      <formula>-0.03</formula>
    </cfRule>
  </conditionalFormatting>
  <conditionalFormatting sqref="V79:X79">
    <cfRule type="cellIs" dxfId="187" priority="3" operator="greaterThan">
      <formula>0.03</formula>
    </cfRule>
    <cfRule type="cellIs" dxfId="186" priority="4" stopIfTrue="1" operator="lessThan">
      <formula>-0.03</formula>
    </cfRule>
  </conditionalFormatting>
  <conditionalFormatting sqref="Y79:AA79">
    <cfRule type="cellIs" dxfId="185" priority="1" operator="greaterThan">
      <formula>0.03</formula>
    </cfRule>
    <cfRule type="cellIs" dxfId="184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AA83"/>
  <sheetViews>
    <sheetView zoomScale="85" zoomScaleNormal="85" workbookViewId="0">
      <selection activeCell="D74" sqref="D74"/>
    </sheetView>
  </sheetViews>
  <sheetFormatPr defaultColWidth="10.875" defaultRowHeight="12" x14ac:dyDescent="0.2"/>
  <cols>
    <col min="1" max="1" width="8.375" style="1" customWidth="1"/>
    <col min="2" max="2" width="14.875" style="1" customWidth="1"/>
    <col min="3" max="3" width="7.875" style="1" customWidth="1"/>
    <col min="4" max="4" width="9.875" style="1" customWidth="1"/>
    <col min="5" max="7" width="6.875" style="1" customWidth="1"/>
    <col min="8" max="10" width="8.875" style="1" customWidth="1"/>
    <col min="11" max="11" width="2.875" style="1" customWidth="1"/>
    <col min="12" max="12" width="9.875" style="1" customWidth="1"/>
    <col min="13" max="15" width="6.875" style="1" customWidth="1"/>
    <col min="16" max="18" width="8.875" style="1" customWidth="1"/>
    <col min="19" max="20" width="5.125" style="1" customWidth="1"/>
    <col min="21" max="21" width="2.875" style="1" customWidth="1"/>
    <col min="22" max="27" width="8.875" style="1" customWidth="1"/>
    <col min="28" max="16384" width="10.875" style="1"/>
  </cols>
  <sheetData>
    <row r="1" spans="1:27" ht="12.75" thickBot="1" x14ac:dyDescent="0.25">
      <c r="D1" s="153" t="s">
        <v>5</v>
      </c>
      <c r="E1" s="154"/>
      <c r="F1" s="154"/>
      <c r="G1" s="154"/>
      <c r="H1" s="154"/>
      <c r="I1" s="154"/>
      <c r="J1" s="155"/>
      <c r="L1" s="153" t="s">
        <v>6</v>
      </c>
      <c r="M1" s="154"/>
      <c r="N1" s="154"/>
      <c r="O1" s="154"/>
      <c r="P1" s="154"/>
      <c r="Q1" s="154"/>
      <c r="R1" s="155"/>
      <c r="S1" s="35"/>
      <c r="T1" s="35"/>
      <c r="U1" s="2"/>
      <c r="V1" s="153" t="s">
        <v>17</v>
      </c>
      <c r="W1" s="154"/>
      <c r="X1" s="155"/>
      <c r="Y1" s="153" t="s">
        <v>18</v>
      </c>
      <c r="Z1" s="154"/>
      <c r="AA1" s="155"/>
    </row>
    <row r="2" spans="1:27" ht="12.75" thickBot="1" x14ac:dyDescent="0.25">
      <c r="A2" s="53"/>
      <c r="B2" s="49"/>
      <c r="C2" s="48" t="s">
        <v>0</v>
      </c>
      <c r="D2" s="8" t="s">
        <v>7</v>
      </c>
      <c r="E2" s="9" t="s">
        <v>8</v>
      </c>
      <c r="F2" s="9" t="s">
        <v>9</v>
      </c>
      <c r="G2" s="9" t="s">
        <v>10</v>
      </c>
      <c r="H2" s="9" t="s">
        <v>11</v>
      </c>
      <c r="I2" s="9" t="s">
        <v>12</v>
      </c>
      <c r="J2" s="10" t="s">
        <v>13</v>
      </c>
      <c r="K2" s="2"/>
      <c r="L2" s="8" t="s">
        <v>7</v>
      </c>
      <c r="M2" s="9" t="s">
        <v>8</v>
      </c>
      <c r="N2" s="9" t="s">
        <v>9</v>
      </c>
      <c r="O2" s="9" t="s">
        <v>10</v>
      </c>
      <c r="P2" s="9" t="s">
        <v>11</v>
      </c>
      <c r="Q2" s="9" t="s">
        <v>12</v>
      </c>
      <c r="R2" s="10" t="s">
        <v>13</v>
      </c>
      <c r="S2" s="7" t="s">
        <v>30</v>
      </c>
      <c r="T2" s="7" t="s">
        <v>31</v>
      </c>
      <c r="U2" s="7"/>
      <c r="V2" s="8" t="s">
        <v>14</v>
      </c>
      <c r="W2" s="9" t="s">
        <v>15</v>
      </c>
      <c r="X2" s="10" t="s">
        <v>16</v>
      </c>
      <c r="Y2" s="8" t="s">
        <v>14</v>
      </c>
      <c r="Z2" s="9" t="s">
        <v>15</v>
      </c>
      <c r="AA2" s="10" t="s">
        <v>16</v>
      </c>
    </row>
    <row r="3" spans="1:27" x14ac:dyDescent="0.2">
      <c r="A3" s="88" t="s">
        <v>46</v>
      </c>
      <c r="B3" s="48" t="s">
        <v>81</v>
      </c>
      <c r="C3" s="11">
        <v>43</v>
      </c>
      <c r="D3" s="12">
        <f>Reference!B217</f>
        <v>0</v>
      </c>
      <c r="E3" s="13">
        <f>Reference!C217</f>
        <v>0</v>
      </c>
      <c r="F3" s="13">
        <f>Reference!D217</f>
        <v>0</v>
      </c>
      <c r="G3" s="13">
        <f>Reference!E217</f>
        <v>0</v>
      </c>
      <c r="H3" s="13">
        <f>Reference!F217</f>
        <v>0</v>
      </c>
      <c r="I3" s="13">
        <f>Reference!G217</f>
        <v>0</v>
      </c>
      <c r="J3" s="14">
        <f>H3/3600</f>
        <v>0</v>
      </c>
      <c r="L3" s="12">
        <f>Test!B217</f>
        <v>0</v>
      </c>
      <c r="M3" s="13">
        <f>Test!C217</f>
        <v>0</v>
      </c>
      <c r="N3" s="13">
        <f>Test!D217</f>
        <v>0</v>
      </c>
      <c r="O3" s="13">
        <f>Test!E217</f>
        <v>0</v>
      </c>
      <c r="P3" s="13">
        <f>Test!F217</f>
        <v>0</v>
      </c>
      <c r="Q3" s="13">
        <f>Test!G217</f>
        <v>0</v>
      </c>
      <c r="R3" s="14">
        <f>P3/3600</f>
        <v>0</v>
      </c>
      <c r="S3" s="12" t="e">
        <f t="shared" ref="S3" si="0">P3/H3</f>
        <v>#DIV/0!</v>
      </c>
      <c r="T3" s="13" t="e">
        <f t="shared" ref="T3" si="1">Q3/I3</f>
        <v>#DIV/0!</v>
      </c>
      <c r="U3" s="90"/>
      <c r="V3" s="37" t="e">
        <f>bdrate($D3:$D6,E3:E6,$L3:$L6,M3:M6)</f>
        <v>#VALUE!</v>
      </c>
      <c r="W3" s="42" t="e">
        <f>bdrate($D3:$D6,F3:F6,$L3:$L6,N3:N6)</f>
        <v>#VALUE!</v>
      </c>
      <c r="X3" s="43" t="e">
        <f>bdrate($D3:$D6,G3:G6,$L3:$L6,O3:O6)</f>
        <v>#VALUE!</v>
      </c>
      <c r="Y3" s="37" t="e">
        <f>bdrateOld($D3:$D6,E3:E6,$L3:$L6,M3:M6)</f>
        <v>#VALUE!</v>
      </c>
      <c r="Z3" s="42" t="e">
        <f>bdrateOld($D3:$D6,F3:F6,$L3:$L6,N3:N6)</f>
        <v>#VALUE!</v>
      </c>
      <c r="AA3" s="43" t="e">
        <f>bdrateOld($D3:$D6,G3:G6,$L3:$L6,O3:O6)</f>
        <v>#VALUE!</v>
      </c>
    </row>
    <row r="4" spans="1:27" x14ac:dyDescent="0.2">
      <c r="A4" s="16" t="s">
        <v>34</v>
      </c>
      <c r="B4" s="85"/>
      <c r="C4" s="16">
        <v>48</v>
      </c>
      <c r="D4" s="17">
        <f>Reference!B218</f>
        <v>0</v>
      </c>
      <c r="E4" s="18">
        <f>Reference!C218</f>
        <v>0</v>
      </c>
      <c r="F4" s="18">
        <f>Reference!D218</f>
        <v>0</v>
      </c>
      <c r="G4" s="18">
        <f>Reference!E218</f>
        <v>0</v>
      </c>
      <c r="H4" s="18">
        <f>Reference!F218</f>
        <v>0</v>
      </c>
      <c r="I4" s="18">
        <f>Reference!G218</f>
        <v>0</v>
      </c>
      <c r="J4" s="19">
        <f t="shared" ref="J4:J58" si="2">H4/3600</f>
        <v>0</v>
      </c>
      <c r="L4" s="17">
        <f>Test!B218</f>
        <v>0</v>
      </c>
      <c r="M4" s="18">
        <f>Test!C218</f>
        <v>0</v>
      </c>
      <c r="N4" s="18">
        <f>Test!D218</f>
        <v>0</v>
      </c>
      <c r="O4" s="18">
        <f>Test!E218</f>
        <v>0</v>
      </c>
      <c r="P4" s="18">
        <f>Test!F218</f>
        <v>0</v>
      </c>
      <c r="Q4" s="18">
        <f>Test!G218</f>
        <v>0</v>
      </c>
      <c r="R4" s="19">
        <f t="shared" ref="R4:R58" si="3">P4/3600</f>
        <v>0</v>
      </c>
      <c r="S4" s="17" t="e">
        <f t="shared" ref="S4:S26" si="4">P4/H4</f>
        <v>#DIV/0!</v>
      </c>
      <c r="T4" s="18" t="e">
        <f t="shared" ref="T4:T26" si="5">Q4/I4</f>
        <v>#DIV/0!</v>
      </c>
      <c r="U4" s="91"/>
      <c r="V4" s="38"/>
      <c r="W4" s="25"/>
      <c r="X4" s="50"/>
      <c r="Y4" s="38"/>
      <c r="Z4" s="25"/>
      <c r="AA4" s="50"/>
    </row>
    <row r="5" spans="1:27" x14ac:dyDescent="0.2">
      <c r="A5" s="16"/>
      <c r="B5" s="85"/>
      <c r="C5" s="16">
        <v>54</v>
      </c>
      <c r="D5" s="17">
        <f>Reference!B219</f>
        <v>0</v>
      </c>
      <c r="E5" s="18">
        <f>Reference!C219</f>
        <v>0</v>
      </c>
      <c r="F5" s="18">
        <f>Reference!D219</f>
        <v>0</v>
      </c>
      <c r="G5" s="18">
        <f>Reference!E219</f>
        <v>0</v>
      </c>
      <c r="H5" s="18">
        <f>Reference!F219</f>
        <v>0</v>
      </c>
      <c r="I5" s="18">
        <f>Reference!G219</f>
        <v>0</v>
      </c>
      <c r="J5" s="19">
        <f t="shared" si="2"/>
        <v>0</v>
      </c>
      <c r="L5" s="17">
        <f>Test!B219</f>
        <v>0</v>
      </c>
      <c r="M5" s="18">
        <f>Test!C219</f>
        <v>0</v>
      </c>
      <c r="N5" s="18">
        <f>Test!D219</f>
        <v>0</v>
      </c>
      <c r="O5" s="18">
        <f>Test!E219</f>
        <v>0</v>
      </c>
      <c r="P5" s="18">
        <f>Test!F219</f>
        <v>0</v>
      </c>
      <c r="Q5" s="18">
        <f>Test!G219</f>
        <v>0</v>
      </c>
      <c r="R5" s="19">
        <f t="shared" si="3"/>
        <v>0</v>
      </c>
      <c r="S5" s="17" t="e">
        <f t="shared" si="4"/>
        <v>#DIV/0!</v>
      </c>
      <c r="T5" s="18" t="e">
        <f t="shared" si="5"/>
        <v>#DIV/0!</v>
      </c>
      <c r="U5" s="91"/>
      <c r="V5" s="38"/>
      <c r="W5" s="25"/>
      <c r="X5" s="50"/>
      <c r="Y5" s="38"/>
      <c r="Z5" s="25"/>
      <c r="AA5" s="50"/>
    </row>
    <row r="6" spans="1:27" ht="12.75" thickBot="1" x14ac:dyDescent="0.25">
      <c r="A6" s="16"/>
      <c r="B6" s="86"/>
      <c r="C6" s="21">
        <v>61</v>
      </c>
      <c r="D6" s="22">
        <f>Reference!B220</f>
        <v>0</v>
      </c>
      <c r="E6" s="23">
        <f>Reference!C220</f>
        <v>0</v>
      </c>
      <c r="F6" s="23">
        <f>Reference!D220</f>
        <v>0</v>
      </c>
      <c r="G6" s="23">
        <f>Reference!E220</f>
        <v>0</v>
      </c>
      <c r="H6" s="23">
        <f>Reference!F220</f>
        <v>0</v>
      </c>
      <c r="I6" s="23">
        <f>Reference!G220</f>
        <v>0</v>
      </c>
      <c r="J6" s="24">
        <f t="shared" si="2"/>
        <v>0</v>
      </c>
      <c r="L6" s="22">
        <f>Test!B220</f>
        <v>0</v>
      </c>
      <c r="M6" s="23">
        <f>Test!C220</f>
        <v>0</v>
      </c>
      <c r="N6" s="23">
        <f>Test!D220</f>
        <v>0</v>
      </c>
      <c r="O6" s="23">
        <f>Test!E220</f>
        <v>0</v>
      </c>
      <c r="P6" s="23">
        <f>Test!F220</f>
        <v>0</v>
      </c>
      <c r="Q6" s="23">
        <f>Test!G220</f>
        <v>0</v>
      </c>
      <c r="R6" s="24">
        <f t="shared" si="3"/>
        <v>0</v>
      </c>
      <c r="S6" s="17" t="e">
        <f t="shared" si="4"/>
        <v>#DIV/0!</v>
      </c>
      <c r="T6" s="18" t="e">
        <f t="shared" si="5"/>
        <v>#DIV/0!</v>
      </c>
      <c r="U6" s="91"/>
      <c r="V6" s="39"/>
      <c r="W6" s="51"/>
      <c r="X6" s="52"/>
      <c r="Y6" s="39"/>
      <c r="Z6" s="51"/>
      <c r="AA6" s="52"/>
    </row>
    <row r="7" spans="1:27" x14ac:dyDescent="0.2">
      <c r="A7" s="16"/>
      <c r="B7" s="48" t="s">
        <v>45</v>
      </c>
      <c r="C7" s="11">
        <v>43</v>
      </c>
      <c r="D7" s="12">
        <f>Reference!B221</f>
        <v>0</v>
      </c>
      <c r="E7" s="13">
        <f>Reference!C221</f>
        <v>0</v>
      </c>
      <c r="F7" s="13">
        <f>Reference!D221</f>
        <v>0</v>
      </c>
      <c r="G7" s="13">
        <f>Reference!E221</f>
        <v>0</v>
      </c>
      <c r="H7" s="13">
        <f>Reference!F221</f>
        <v>0</v>
      </c>
      <c r="I7" s="13">
        <f>Reference!G221</f>
        <v>0</v>
      </c>
      <c r="J7" s="14">
        <f t="shared" si="2"/>
        <v>0</v>
      </c>
      <c r="L7" s="12">
        <f>Test!B221</f>
        <v>0</v>
      </c>
      <c r="M7" s="13">
        <f>Test!C221</f>
        <v>0</v>
      </c>
      <c r="N7" s="13">
        <f>Test!D221</f>
        <v>0</v>
      </c>
      <c r="O7" s="13">
        <f>Test!E221</f>
        <v>0</v>
      </c>
      <c r="P7" s="13">
        <f>Test!F221</f>
        <v>0</v>
      </c>
      <c r="Q7" s="13">
        <f>Test!G221</f>
        <v>0</v>
      </c>
      <c r="R7" s="14">
        <f t="shared" si="3"/>
        <v>0</v>
      </c>
      <c r="S7" s="17" t="e">
        <f t="shared" si="4"/>
        <v>#DIV/0!</v>
      </c>
      <c r="T7" s="18" t="e">
        <f t="shared" si="5"/>
        <v>#DIV/0!</v>
      </c>
      <c r="U7" s="91"/>
      <c r="V7" s="37" t="e">
        <f>bdrate($D7:$D10,E7:E10,$L7:$L10,M7:M10)</f>
        <v>#VALUE!</v>
      </c>
      <c r="W7" s="42" t="e">
        <f>bdrate($D7:$D10,F7:F10,$L7:$L10,N7:N10)</f>
        <v>#VALUE!</v>
      </c>
      <c r="X7" s="43" t="e">
        <f>bdrate($D7:$D10,G7:G10,$L7:$L10,O7:O10)</f>
        <v>#VALUE!</v>
      </c>
      <c r="Y7" s="37" t="e">
        <f>bdrateOld($D7:$D10,E7:E10,$L7:$L10,M7:M10)</f>
        <v>#VALUE!</v>
      </c>
      <c r="Z7" s="42" t="e">
        <f>bdrateOld($D7:$D10,F7:F10,$L7:$L10,N7:N10)</f>
        <v>#VALUE!</v>
      </c>
      <c r="AA7" s="43" t="e">
        <f>bdrateOld($D7:$D10,G7:G10,$L7:$L10,O7:O10)</f>
        <v>#VALUE!</v>
      </c>
    </row>
    <row r="8" spans="1:27" x14ac:dyDescent="0.2">
      <c r="A8" s="16"/>
      <c r="B8" s="85"/>
      <c r="C8" s="16">
        <v>48</v>
      </c>
      <c r="D8" s="17">
        <f>Reference!B222</f>
        <v>0</v>
      </c>
      <c r="E8" s="18">
        <f>Reference!C222</f>
        <v>0</v>
      </c>
      <c r="F8" s="18">
        <f>Reference!D222</f>
        <v>0</v>
      </c>
      <c r="G8" s="18">
        <f>Reference!E222</f>
        <v>0</v>
      </c>
      <c r="H8" s="18">
        <f>Reference!F222</f>
        <v>0</v>
      </c>
      <c r="I8" s="18">
        <f>Reference!G222</f>
        <v>0</v>
      </c>
      <c r="J8" s="19">
        <f t="shared" si="2"/>
        <v>0</v>
      </c>
      <c r="L8" s="17">
        <f>Test!B222</f>
        <v>0</v>
      </c>
      <c r="M8" s="18">
        <f>Test!C222</f>
        <v>0</v>
      </c>
      <c r="N8" s="18">
        <f>Test!D222</f>
        <v>0</v>
      </c>
      <c r="O8" s="18">
        <f>Test!E222</f>
        <v>0</v>
      </c>
      <c r="P8" s="18">
        <f>Test!F222</f>
        <v>0</v>
      </c>
      <c r="Q8" s="18">
        <f>Test!G222</f>
        <v>0</v>
      </c>
      <c r="R8" s="19">
        <f t="shared" si="3"/>
        <v>0</v>
      </c>
      <c r="S8" s="17" t="e">
        <f t="shared" si="4"/>
        <v>#DIV/0!</v>
      </c>
      <c r="T8" s="18" t="e">
        <f t="shared" si="5"/>
        <v>#DIV/0!</v>
      </c>
      <c r="U8" s="91"/>
      <c r="V8" s="38"/>
      <c r="W8" s="25"/>
      <c r="X8" s="25"/>
      <c r="Y8" s="38"/>
      <c r="Z8" s="25"/>
      <c r="AA8" s="50"/>
    </row>
    <row r="9" spans="1:27" x14ac:dyDescent="0.2">
      <c r="A9" s="16"/>
      <c r="B9" s="85"/>
      <c r="C9" s="16">
        <v>54</v>
      </c>
      <c r="D9" s="17">
        <f>Reference!B223</f>
        <v>0</v>
      </c>
      <c r="E9" s="18">
        <f>Reference!C223</f>
        <v>0</v>
      </c>
      <c r="F9" s="18">
        <f>Reference!D223</f>
        <v>0</v>
      </c>
      <c r="G9" s="18">
        <f>Reference!E223</f>
        <v>0</v>
      </c>
      <c r="H9" s="18">
        <f>Reference!F223</f>
        <v>0</v>
      </c>
      <c r="I9" s="18">
        <f>Reference!G223</f>
        <v>0</v>
      </c>
      <c r="J9" s="19">
        <f t="shared" si="2"/>
        <v>0</v>
      </c>
      <c r="L9" s="17">
        <f>Test!B223</f>
        <v>0</v>
      </c>
      <c r="M9" s="18">
        <f>Test!C223</f>
        <v>0</v>
      </c>
      <c r="N9" s="18">
        <f>Test!D223</f>
        <v>0</v>
      </c>
      <c r="O9" s="18">
        <f>Test!E223</f>
        <v>0</v>
      </c>
      <c r="P9" s="18">
        <f>Test!F223</f>
        <v>0</v>
      </c>
      <c r="Q9" s="18">
        <f>Test!G223</f>
        <v>0</v>
      </c>
      <c r="R9" s="19">
        <f t="shared" si="3"/>
        <v>0</v>
      </c>
      <c r="S9" s="17" t="e">
        <f t="shared" si="4"/>
        <v>#DIV/0!</v>
      </c>
      <c r="T9" s="18" t="e">
        <f t="shared" si="5"/>
        <v>#DIV/0!</v>
      </c>
      <c r="U9" s="91"/>
      <c r="V9" s="38"/>
      <c r="W9" s="25"/>
      <c r="X9" s="25"/>
      <c r="Y9" s="38"/>
      <c r="Z9" s="25"/>
      <c r="AA9" s="50"/>
    </row>
    <row r="10" spans="1:27" ht="12.75" thickBot="1" x14ac:dyDescent="0.25">
      <c r="A10" s="16"/>
      <c r="B10" s="86"/>
      <c r="C10" s="21">
        <v>61</v>
      </c>
      <c r="D10" s="22">
        <f>Reference!B224</f>
        <v>0</v>
      </c>
      <c r="E10" s="23">
        <f>Reference!C224</f>
        <v>0</v>
      </c>
      <c r="F10" s="23">
        <f>Reference!D224</f>
        <v>0</v>
      </c>
      <c r="G10" s="23">
        <f>Reference!E224</f>
        <v>0</v>
      </c>
      <c r="H10" s="23">
        <f>Reference!F224</f>
        <v>0</v>
      </c>
      <c r="I10" s="23">
        <f>Reference!G224</f>
        <v>0</v>
      </c>
      <c r="J10" s="24">
        <f t="shared" si="2"/>
        <v>0</v>
      </c>
      <c r="L10" s="22">
        <f>Test!B224</f>
        <v>0</v>
      </c>
      <c r="M10" s="23">
        <f>Test!C224</f>
        <v>0</v>
      </c>
      <c r="N10" s="23">
        <f>Test!D224</f>
        <v>0</v>
      </c>
      <c r="O10" s="23">
        <f>Test!E224</f>
        <v>0</v>
      </c>
      <c r="P10" s="23">
        <f>Test!F224</f>
        <v>0</v>
      </c>
      <c r="Q10" s="23">
        <f>Test!G224</f>
        <v>0</v>
      </c>
      <c r="R10" s="24">
        <f t="shared" si="3"/>
        <v>0</v>
      </c>
      <c r="S10" s="17" t="e">
        <f t="shared" si="4"/>
        <v>#DIV/0!</v>
      </c>
      <c r="T10" s="18" t="e">
        <f t="shared" si="5"/>
        <v>#DIV/0!</v>
      </c>
      <c r="U10" s="91"/>
      <c r="V10" s="39"/>
      <c r="W10" s="51"/>
      <c r="X10" s="51"/>
      <c r="Y10" s="39"/>
      <c r="Z10" s="51"/>
      <c r="AA10" s="52"/>
    </row>
    <row r="11" spans="1:27" x14ac:dyDescent="0.2">
      <c r="A11" s="34"/>
      <c r="B11" s="87" t="s">
        <v>44</v>
      </c>
      <c r="C11" s="11">
        <v>43</v>
      </c>
      <c r="D11" s="12">
        <f>Reference!B225</f>
        <v>0</v>
      </c>
      <c r="E11" s="13">
        <f>Reference!C225</f>
        <v>0</v>
      </c>
      <c r="F11" s="13">
        <f>Reference!D225</f>
        <v>0</v>
      </c>
      <c r="G11" s="13">
        <f>Reference!E225</f>
        <v>0</v>
      </c>
      <c r="H11" s="13">
        <f>Reference!F225</f>
        <v>0</v>
      </c>
      <c r="I11" s="13">
        <f>Reference!G225</f>
        <v>0</v>
      </c>
      <c r="J11" s="14">
        <f t="shared" si="2"/>
        <v>0</v>
      </c>
      <c r="L11" s="12">
        <f>Test!B225</f>
        <v>0</v>
      </c>
      <c r="M11" s="13">
        <f>Test!C225</f>
        <v>0</v>
      </c>
      <c r="N11" s="13">
        <f>Test!D225</f>
        <v>0</v>
      </c>
      <c r="O11" s="13">
        <f>Test!E225</f>
        <v>0</v>
      </c>
      <c r="P11" s="13">
        <f>Test!F225</f>
        <v>0</v>
      </c>
      <c r="Q11" s="13">
        <f>Test!G225</f>
        <v>0</v>
      </c>
      <c r="R11" s="14">
        <f t="shared" si="3"/>
        <v>0</v>
      </c>
      <c r="S11" s="17" t="e">
        <f t="shared" si="4"/>
        <v>#DIV/0!</v>
      </c>
      <c r="T11" s="18" t="e">
        <f t="shared" si="5"/>
        <v>#DIV/0!</v>
      </c>
      <c r="U11" s="91"/>
      <c r="V11" s="37" t="e">
        <f>bdrate($D11:$D14,E11:E14,$L11:$L14,M11:M14)</f>
        <v>#VALUE!</v>
      </c>
      <c r="W11" s="42" t="e">
        <f>bdrate($D11:$D14,F11:F14,$L11:$L14,N11:N14)</f>
        <v>#VALUE!</v>
      </c>
      <c r="X11" s="43" t="e">
        <f>bdrate($D11:$D14,G11:G14,$L11:$L14,O11:O14)</f>
        <v>#VALUE!</v>
      </c>
      <c r="Y11" s="37" t="e">
        <f>bdrateOld($D11:$D14,E11:E14,$L11:$L14,M11:M14)</f>
        <v>#VALUE!</v>
      </c>
      <c r="Z11" s="42" t="e">
        <f>bdrateOld($D11:$D14,F11:F14,$L11:$L14,N11:N14)</f>
        <v>#VALUE!</v>
      </c>
      <c r="AA11" s="43" t="e">
        <f>bdrateOld($D11:$D14,G11:G14,$L11:$L14,O11:O14)</f>
        <v>#VALUE!</v>
      </c>
    </row>
    <row r="12" spans="1:27" x14ac:dyDescent="0.2">
      <c r="A12" s="34"/>
      <c r="B12" s="83"/>
      <c r="C12" s="16">
        <v>48</v>
      </c>
      <c r="D12" s="17">
        <f>Reference!B226</f>
        <v>0</v>
      </c>
      <c r="E12" s="18">
        <f>Reference!C226</f>
        <v>0</v>
      </c>
      <c r="F12" s="18">
        <f>Reference!D226</f>
        <v>0</v>
      </c>
      <c r="G12" s="18">
        <f>Reference!E226</f>
        <v>0</v>
      </c>
      <c r="H12" s="18">
        <f>Reference!F226</f>
        <v>0</v>
      </c>
      <c r="I12" s="18">
        <f>Reference!G226</f>
        <v>0</v>
      </c>
      <c r="J12" s="19">
        <f t="shared" si="2"/>
        <v>0</v>
      </c>
      <c r="L12" s="17">
        <f>Test!B226</f>
        <v>0</v>
      </c>
      <c r="M12" s="18">
        <f>Test!C226</f>
        <v>0</v>
      </c>
      <c r="N12" s="18">
        <f>Test!D226</f>
        <v>0</v>
      </c>
      <c r="O12" s="18">
        <f>Test!E226</f>
        <v>0</v>
      </c>
      <c r="P12" s="18">
        <f>Test!F226</f>
        <v>0</v>
      </c>
      <c r="Q12" s="18">
        <f>Test!G226</f>
        <v>0</v>
      </c>
      <c r="R12" s="19">
        <f t="shared" si="3"/>
        <v>0</v>
      </c>
      <c r="S12" s="17" t="e">
        <f t="shared" si="4"/>
        <v>#DIV/0!</v>
      </c>
      <c r="T12" s="18" t="e">
        <f t="shared" si="5"/>
        <v>#DIV/0!</v>
      </c>
      <c r="U12" s="91"/>
      <c r="V12" s="38"/>
      <c r="W12" s="25"/>
      <c r="X12" s="25"/>
      <c r="Y12" s="38"/>
      <c r="Z12" s="25"/>
      <c r="AA12" s="50"/>
    </row>
    <row r="13" spans="1:27" x14ac:dyDescent="0.2">
      <c r="A13" s="34"/>
      <c r="B13" s="83"/>
      <c r="C13" s="16">
        <v>54</v>
      </c>
      <c r="D13" s="17">
        <f>Reference!B227</f>
        <v>0</v>
      </c>
      <c r="E13" s="18">
        <f>Reference!C227</f>
        <v>0</v>
      </c>
      <c r="F13" s="18">
        <f>Reference!D227</f>
        <v>0</v>
      </c>
      <c r="G13" s="18">
        <f>Reference!E227</f>
        <v>0</v>
      </c>
      <c r="H13" s="18">
        <f>Reference!F227</f>
        <v>0</v>
      </c>
      <c r="I13" s="18">
        <f>Reference!G227</f>
        <v>0</v>
      </c>
      <c r="J13" s="19">
        <f t="shared" si="2"/>
        <v>0</v>
      </c>
      <c r="L13" s="17">
        <f>Test!B227</f>
        <v>0</v>
      </c>
      <c r="M13" s="18">
        <f>Test!C227</f>
        <v>0</v>
      </c>
      <c r="N13" s="18">
        <f>Test!D227</f>
        <v>0</v>
      </c>
      <c r="O13" s="18">
        <f>Test!E227</f>
        <v>0</v>
      </c>
      <c r="P13" s="18">
        <f>Test!F227</f>
        <v>0</v>
      </c>
      <c r="Q13" s="18">
        <f>Test!G227</f>
        <v>0</v>
      </c>
      <c r="R13" s="19">
        <f t="shared" si="3"/>
        <v>0</v>
      </c>
      <c r="S13" s="17" t="e">
        <f t="shared" si="4"/>
        <v>#DIV/0!</v>
      </c>
      <c r="T13" s="18" t="e">
        <f t="shared" si="5"/>
        <v>#DIV/0!</v>
      </c>
      <c r="U13" s="91"/>
      <c r="V13" s="38"/>
      <c r="W13" s="25"/>
      <c r="X13" s="25"/>
      <c r="Y13" s="38"/>
      <c r="Z13" s="25"/>
      <c r="AA13" s="50"/>
    </row>
    <row r="14" spans="1:27" ht="12.75" thickBot="1" x14ac:dyDescent="0.25">
      <c r="A14" s="34"/>
      <c r="B14" s="84"/>
      <c r="C14" s="21">
        <v>61</v>
      </c>
      <c r="D14" s="22">
        <f>Reference!B228</f>
        <v>0</v>
      </c>
      <c r="E14" s="23">
        <f>Reference!C228</f>
        <v>0</v>
      </c>
      <c r="F14" s="23">
        <f>Reference!D228</f>
        <v>0</v>
      </c>
      <c r="G14" s="23">
        <f>Reference!E228</f>
        <v>0</v>
      </c>
      <c r="H14" s="23">
        <f>Reference!F228</f>
        <v>0</v>
      </c>
      <c r="I14" s="23">
        <f>Reference!G228</f>
        <v>0</v>
      </c>
      <c r="J14" s="24">
        <f t="shared" si="2"/>
        <v>0</v>
      </c>
      <c r="L14" s="22">
        <f>Test!B228</f>
        <v>0</v>
      </c>
      <c r="M14" s="23">
        <f>Test!C228</f>
        <v>0</v>
      </c>
      <c r="N14" s="23">
        <f>Test!D228</f>
        <v>0</v>
      </c>
      <c r="O14" s="23">
        <f>Test!E228</f>
        <v>0</v>
      </c>
      <c r="P14" s="23">
        <f>Test!F228</f>
        <v>0</v>
      </c>
      <c r="Q14" s="23">
        <f>Test!G228</f>
        <v>0</v>
      </c>
      <c r="R14" s="24">
        <f t="shared" si="3"/>
        <v>0</v>
      </c>
      <c r="S14" s="17" t="e">
        <f t="shared" si="4"/>
        <v>#DIV/0!</v>
      </c>
      <c r="T14" s="18" t="e">
        <f t="shared" si="5"/>
        <v>#DIV/0!</v>
      </c>
      <c r="U14" s="91"/>
      <c r="V14" s="39"/>
      <c r="W14" s="51"/>
      <c r="X14" s="51"/>
      <c r="Y14" s="39"/>
      <c r="Z14" s="51"/>
      <c r="AA14" s="52"/>
    </row>
    <row r="15" spans="1:27" x14ac:dyDescent="0.2">
      <c r="A15" s="16"/>
      <c r="B15" s="48" t="s">
        <v>82</v>
      </c>
      <c r="C15" s="11">
        <v>43</v>
      </c>
      <c r="D15" s="12">
        <f>Reference!B229</f>
        <v>0</v>
      </c>
      <c r="E15" s="13">
        <f>Reference!C229</f>
        <v>0</v>
      </c>
      <c r="F15" s="13">
        <f>Reference!D229</f>
        <v>0</v>
      </c>
      <c r="G15" s="13">
        <f>Reference!E229</f>
        <v>0</v>
      </c>
      <c r="H15" s="13">
        <f>Reference!F229</f>
        <v>0</v>
      </c>
      <c r="I15" s="13">
        <f>Reference!G229</f>
        <v>0</v>
      </c>
      <c r="J15" s="14">
        <f t="shared" si="2"/>
        <v>0</v>
      </c>
      <c r="L15" s="12">
        <f>Test!B229</f>
        <v>0</v>
      </c>
      <c r="M15" s="13">
        <f>Test!C229</f>
        <v>0</v>
      </c>
      <c r="N15" s="13">
        <f>Test!D229</f>
        <v>0</v>
      </c>
      <c r="O15" s="13">
        <f>Test!E229</f>
        <v>0</v>
      </c>
      <c r="P15" s="13">
        <f>Test!F229</f>
        <v>0</v>
      </c>
      <c r="Q15" s="13">
        <f>Test!G229</f>
        <v>0</v>
      </c>
      <c r="R15" s="14">
        <f t="shared" si="3"/>
        <v>0</v>
      </c>
      <c r="S15" s="17" t="e">
        <f t="shared" si="4"/>
        <v>#DIV/0!</v>
      </c>
      <c r="T15" s="18" t="e">
        <f t="shared" si="5"/>
        <v>#DIV/0!</v>
      </c>
      <c r="U15" s="91"/>
      <c r="V15" s="37" t="e">
        <f>bdrate($D15:$D18,E15:E18,$L15:$L18,M15:M18)</f>
        <v>#VALUE!</v>
      </c>
      <c r="W15" s="42" t="e">
        <f>bdrate($D15:$D18,F15:F18,$L15:$L18,N15:N18)</f>
        <v>#VALUE!</v>
      </c>
      <c r="X15" s="43" t="e">
        <f>bdrate($D15:$D18,G15:G18,$L15:$L18,O15:O18)</f>
        <v>#VALUE!</v>
      </c>
      <c r="Y15" s="37" t="e">
        <f>bdrateOld($D15:$D18,E15:E18,$L15:$L18,M15:M18)</f>
        <v>#VALUE!</v>
      </c>
      <c r="Z15" s="42" t="e">
        <f>bdrateOld($D15:$D18,F15:F18,$L15:$L18,N15:N18)</f>
        <v>#VALUE!</v>
      </c>
      <c r="AA15" s="43" t="e">
        <f>bdrateOld($D15:$D18,G15:G18,$L15:$L18,O15:O18)</f>
        <v>#VALUE!</v>
      </c>
    </row>
    <row r="16" spans="1:27" x14ac:dyDescent="0.2">
      <c r="A16" s="16"/>
      <c r="B16" s="85"/>
      <c r="C16" s="16">
        <v>48</v>
      </c>
      <c r="D16" s="17">
        <f>Reference!B230</f>
        <v>0</v>
      </c>
      <c r="E16" s="18">
        <f>Reference!C230</f>
        <v>0</v>
      </c>
      <c r="F16" s="18">
        <f>Reference!D230</f>
        <v>0</v>
      </c>
      <c r="G16" s="18">
        <f>Reference!E230</f>
        <v>0</v>
      </c>
      <c r="H16" s="18">
        <f>Reference!F230</f>
        <v>0</v>
      </c>
      <c r="I16" s="18">
        <f>Reference!G230</f>
        <v>0</v>
      </c>
      <c r="J16" s="19">
        <f t="shared" si="2"/>
        <v>0</v>
      </c>
      <c r="L16" s="17">
        <f>Test!B230</f>
        <v>0</v>
      </c>
      <c r="M16" s="18">
        <f>Test!C230</f>
        <v>0</v>
      </c>
      <c r="N16" s="18">
        <f>Test!D230</f>
        <v>0</v>
      </c>
      <c r="O16" s="18">
        <f>Test!E230</f>
        <v>0</v>
      </c>
      <c r="P16" s="18">
        <f>Test!F230</f>
        <v>0</v>
      </c>
      <c r="Q16" s="18">
        <f>Test!G230</f>
        <v>0</v>
      </c>
      <c r="R16" s="19">
        <f t="shared" si="3"/>
        <v>0</v>
      </c>
      <c r="S16" s="17" t="e">
        <f t="shared" si="4"/>
        <v>#DIV/0!</v>
      </c>
      <c r="T16" s="18" t="e">
        <f t="shared" si="5"/>
        <v>#DIV/0!</v>
      </c>
      <c r="U16" s="91"/>
      <c r="V16" s="38"/>
      <c r="W16" s="25"/>
      <c r="X16" s="50"/>
      <c r="Y16" s="38"/>
      <c r="Z16" s="25"/>
      <c r="AA16" s="50"/>
    </row>
    <row r="17" spans="1:27" x14ac:dyDescent="0.2">
      <c r="A17" s="16"/>
      <c r="B17" s="85"/>
      <c r="C17" s="16">
        <v>54</v>
      </c>
      <c r="D17" s="17">
        <f>Reference!B231</f>
        <v>0</v>
      </c>
      <c r="E17" s="18">
        <f>Reference!C231</f>
        <v>0</v>
      </c>
      <c r="F17" s="18">
        <f>Reference!D231</f>
        <v>0</v>
      </c>
      <c r="G17" s="18">
        <f>Reference!E231</f>
        <v>0</v>
      </c>
      <c r="H17" s="18">
        <f>Reference!F231</f>
        <v>0</v>
      </c>
      <c r="I17" s="18">
        <f>Reference!G231</f>
        <v>0</v>
      </c>
      <c r="J17" s="19">
        <f t="shared" si="2"/>
        <v>0</v>
      </c>
      <c r="L17" s="17">
        <f>Test!B231</f>
        <v>0</v>
      </c>
      <c r="M17" s="18">
        <f>Test!C231</f>
        <v>0</v>
      </c>
      <c r="N17" s="18">
        <f>Test!D231</f>
        <v>0</v>
      </c>
      <c r="O17" s="18">
        <f>Test!E231</f>
        <v>0</v>
      </c>
      <c r="P17" s="18">
        <f>Test!F231</f>
        <v>0</v>
      </c>
      <c r="Q17" s="18">
        <f>Test!G231</f>
        <v>0</v>
      </c>
      <c r="R17" s="19">
        <f t="shared" si="3"/>
        <v>0</v>
      </c>
      <c r="S17" s="17" t="e">
        <f t="shared" si="4"/>
        <v>#DIV/0!</v>
      </c>
      <c r="T17" s="18" t="e">
        <f t="shared" si="5"/>
        <v>#DIV/0!</v>
      </c>
      <c r="U17" s="91"/>
      <c r="V17" s="38"/>
      <c r="W17" s="25"/>
      <c r="X17" s="50"/>
      <c r="Y17" s="38"/>
      <c r="Z17" s="25"/>
      <c r="AA17" s="50"/>
    </row>
    <row r="18" spans="1:27" ht="12.75" thickBot="1" x14ac:dyDescent="0.25">
      <c r="A18" s="16"/>
      <c r="B18" s="86"/>
      <c r="C18" s="21">
        <v>61</v>
      </c>
      <c r="D18" s="22">
        <f>Reference!B232</f>
        <v>0</v>
      </c>
      <c r="E18" s="23">
        <f>Reference!C232</f>
        <v>0</v>
      </c>
      <c r="F18" s="23">
        <f>Reference!D232</f>
        <v>0</v>
      </c>
      <c r="G18" s="23">
        <f>Reference!E232</f>
        <v>0</v>
      </c>
      <c r="H18" s="23">
        <f>Reference!F232</f>
        <v>0</v>
      </c>
      <c r="I18" s="23">
        <f>Reference!G232</f>
        <v>0</v>
      </c>
      <c r="J18" s="24">
        <f t="shared" si="2"/>
        <v>0</v>
      </c>
      <c r="L18" s="22">
        <f>Test!B232</f>
        <v>0</v>
      </c>
      <c r="M18" s="23">
        <f>Test!C232</f>
        <v>0</v>
      </c>
      <c r="N18" s="23">
        <f>Test!D232</f>
        <v>0</v>
      </c>
      <c r="O18" s="23">
        <f>Test!E232</f>
        <v>0</v>
      </c>
      <c r="P18" s="23">
        <f>Test!F232</f>
        <v>0</v>
      </c>
      <c r="Q18" s="23">
        <f>Test!G232</f>
        <v>0</v>
      </c>
      <c r="R18" s="24">
        <f t="shared" si="3"/>
        <v>0</v>
      </c>
      <c r="S18" s="17" t="e">
        <f t="shared" si="4"/>
        <v>#DIV/0!</v>
      </c>
      <c r="T18" s="18" t="e">
        <f t="shared" si="5"/>
        <v>#DIV/0!</v>
      </c>
      <c r="U18" s="91"/>
      <c r="V18" s="39"/>
      <c r="W18" s="51"/>
      <c r="X18" s="52"/>
      <c r="Y18" s="39"/>
      <c r="Z18" s="51"/>
      <c r="AA18" s="52"/>
    </row>
    <row r="19" spans="1:27" x14ac:dyDescent="0.2">
      <c r="A19" s="88" t="s">
        <v>47</v>
      </c>
      <c r="B19" s="85" t="s">
        <v>49</v>
      </c>
      <c r="C19" s="11">
        <v>27</v>
      </c>
      <c r="D19" s="12">
        <f>Reference!B233</f>
        <v>0</v>
      </c>
      <c r="E19" s="13">
        <f>Reference!C233</f>
        <v>0</v>
      </c>
      <c r="F19" s="13">
        <f>Reference!D233</f>
        <v>0</v>
      </c>
      <c r="G19" s="13">
        <f>Reference!E233</f>
        <v>0</v>
      </c>
      <c r="H19" s="13">
        <f>Reference!F233</f>
        <v>0</v>
      </c>
      <c r="I19" s="13">
        <f>Reference!G233</f>
        <v>0</v>
      </c>
      <c r="J19" s="14">
        <f t="shared" si="2"/>
        <v>0</v>
      </c>
      <c r="L19" s="12">
        <f>Test!B233</f>
        <v>0</v>
      </c>
      <c r="M19" s="13">
        <f>Test!C233</f>
        <v>0</v>
      </c>
      <c r="N19" s="13">
        <f>Test!D233</f>
        <v>0</v>
      </c>
      <c r="O19" s="13">
        <f>Test!E233</f>
        <v>0</v>
      </c>
      <c r="P19" s="13">
        <f>Test!F233</f>
        <v>0</v>
      </c>
      <c r="Q19" s="13">
        <f>Test!G233</f>
        <v>0</v>
      </c>
      <c r="R19" s="14">
        <f t="shared" si="3"/>
        <v>0</v>
      </c>
      <c r="S19" s="12" t="e">
        <f t="shared" si="4"/>
        <v>#DIV/0!</v>
      </c>
      <c r="T19" s="13" t="e">
        <f t="shared" si="5"/>
        <v>#DIV/0!</v>
      </c>
      <c r="U19" s="90"/>
      <c r="V19" s="37" t="e">
        <f>bdrate($D19:$D22,E19:E22,$L19:$L22,M19:M22)</f>
        <v>#VALUE!</v>
      </c>
      <c r="W19" s="42" t="e">
        <f>bdrate($D19:$D22,F19:F22,$L19:$L22,N19:N22)</f>
        <v>#VALUE!</v>
      </c>
      <c r="X19" s="43" t="e">
        <f>bdrate($D19:$D22,G19:G22,$L19:$L22,O19:O22)</f>
        <v>#VALUE!</v>
      </c>
      <c r="Y19" s="37" t="e">
        <f>bdrateOld($D19:$D22,E19:E22,$L19:$L22,M19:M22)</f>
        <v>#VALUE!</v>
      </c>
      <c r="Z19" s="42" t="e">
        <f>bdrateOld($D19:$D22,F19:F22,$L19:$L22,N19:N22)</f>
        <v>#VALUE!</v>
      </c>
      <c r="AA19" s="43" t="e">
        <f>bdrateOld($D19:$D22,G19:G22,$L19:$L22,O19:O22)</f>
        <v>#VALUE!</v>
      </c>
    </row>
    <row r="20" spans="1:27" x14ac:dyDescent="0.2">
      <c r="A20" s="16" t="s">
        <v>48</v>
      </c>
      <c r="B20" s="85"/>
      <c r="C20" s="16">
        <v>32</v>
      </c>
      <c r="D20" s="17">
        <f>Reference!B234</f>
        <v>0</v>
      </c>
      <c r="E20" s="18">
        <f>Reference!C234</f>
        <v>0</v>
      </c>
      <c r="F20" s="18">
        <f>Reference!D234</f>
        <v>0</v>
      </c>
      <c r="G20" s="18">
        <f>Reference!E234</f>
        <v>0</v>
      </c>
      <c r="H20" s="18">
        <f>Reference!F234</f>
        <v>0</v>
      </c>
      <c r="I20" s="18">
        <f>Reference!G234</f>
        <v>0</v>
      </c>
      <c r="J20" s="19">
        <f t="shared" si="2"/>
        <v>0</v>
      </c>
      <c r="L20" s="17">
        <f>Test!B234</f>
        <v>0</v>
      </c>
      <c r="M20" s="18">
        <f>Test!C234</f>
        <v>0</v>
      </c>
      <c r="N20" s="18">
        <f>Test!D234</f>
        <v>0</v>
      </c>
      <c r="O20" s="18">
        <f>Test!E234</f>
        <v>0</v>
      </c>
      <c r="P20" s="18">
        <f>Test!F234</f>
        <v>0</v>
      </c>
      <c r="Q20" s="18">
        <f>Test!G234</f>
        <v>0</v>
      </c>
      <c r="R20" s="19">
        <f t="shared" si="3"/>
        <v>0</v>
      </c>
      <c r="S20" s="17" t="e">
        <f t="shared" si="4"/>
        <v>#DIV/0!</v>
      </c>
      <c r="T20" s="18" t="e">
        <f t="shared" si="5"/>
        <v>#DIV/0!</v>
      </c>
      <c r="U20" s="91"/>
      <c r="V20" s="38"/>
      <c r="W20" s="25"/>
      <c r="X20" s="25"/>
      <c r="Y20" s="38"/>
      <c r="Z20" s="25"/>
      <c r="AA20" s="50"/>
    </row>
    <row r="21" spans="1:27" x14ac:dyDescent="0.2">
      <c r="A21" s="16"/>
      <c r="B21" s="85"/>
      <c r="C21" s="16">
        <v>38</v>
      </c>
      <c r="D21" s="17">
        <f>Reference!B235</f>
        <v>0</v>
      </c>
      <c r="E21" s="18">
        <f>Reference!C235</f>
        <v>0</v>
      </c>
      <c r="F21" s="18">
        <f>Reference!D235</f>
        <v>0</v>
      </c>
      <c r="G21" s="18">
        <f>Reference!E235</f>
        <v>0</v>
      </c>
      <c r="H21" s="18">
        <f>Reference!F235</f>
        <v>0</v>
      </c>
      <c r="I21" s="18">
        <f>Reference!G235</f>
        <v>0</v>
      </c>
      <c r="J21" s="19">
        <f t="shared" si="2"/>
        <v>0</v>
      </c>
      <c r="L21" s="17">
        <f>Test!B235</f>
        <v>0</v>
      </c>
      <c r="M21" s="18">
        <f>Test!C235</f>
        <v>0</v>
      </c>
      <c r="N21" s="18">
        <f>Test!D235</f>
        <v>0</v>
      </c>
      <c r="O21" s="18">
        <f>Test!E235</f>
        <v>0</v>
      </c>
      <c r="P21" s="18">
        <f>Test!F235</f>
        <v>0</v>
      </c>
      <c r="Q21" s="18">
        <f>Test!G235</f>
        <v>0</v>
      </c>
      <c r="R21" s="19">
        <f t="shared" si="3"/>
        <v>0</v>
      </c>
      <c r="S21" s="17" t="e">
        <f t="shared" si="4"/>
        <v>#DIV/0!</v>
      </c>
      <c r="T21" s="18" t="e">
        <f t="shared" si="5"/>
        <v>#DIV/0!</v>
      </c>
      <c r="U21" s="91"/>
      <c r="V21" s="38"/>
      <c r="W21" s="25"/>
      <c r="X21" s="25"/>
      <c r="Y21" s="38"/>
      <c r="Z21" s="25"/>
      <c r="AA21" s="50"/>
    </row>
    <row r="22" spans="1:27" ht="12.75" thickBot="1" x14ac:dyDescent="0.25">
      <c r="A22" s="16"/>
      <c r="B22" s="86"/>
      <c r="C22" s="21">
        <v>45</v>
      </c>
      <c r="D22" s="22">
        <f>Reference!B236</f>
        <v>0</v>
      </c>
      <c r="E22" s="23">
        <f>Reference!C236</f>
        <v>0</v>
      </c>
      <c r="F22" s="23">
        <f>Reference!D236</f>
        <v>0</v>
      </c>
      <c r="G22" s="23">
        <f>Reference!E236</f>
        <v>0</v>
      </c>
      <c r="H22" s="23">
        <f>Reference!F236</f>
        <v>0</v>
      </c>
      <c r="I22" s="23">
        <f>Reference!G236</f>
        <v>0</v>
      </c>
      <c r="J22" s="24">
        <f t="shared" si="2"/>
        <v>0</v>
      </c>
      <c r="L22" s="22">
        <f>Test!B236</f>
        <v>0</v>
      </c>
      <c r="M22" s="23">
        <f>Test!C236</f>
        <v>0</v>
      </c>
      <c r="N22" s="23">
        <f>Test!D236</f>
        <v>0</v>
      </c>
      <c r="O22" s="23">
        <f>Test!E236</f>
        <v>0</v>
      </c>
      <c r="P22" s="23">
        <f>Test!F236</f>
        <v>0</v>
      </c>
      <c r="Q22" s="23">
        <f>Test!G236</f>
        <v>0</v>
      </c>
      <c r="R22" s="24">
        <f t="shared" si="3"/>
        <v>0</v>
      </c>
      <c r="S22" s="17" t="e">
        <f t="shared" si="4"/>
        <v>#DIV/0!</v>
      </c>
      <c r="T22" s="18" t="e">
        <f t="shared" si="5"/>
        <v>#DIV/0!</v>
      </c>
      <c r="U22" s="91"/>
      <c r="V22" s="39"/>
      <c r="W22" s="51"/>
      <c r="X22" s="51"/>
      <c r="Y22" s="39"/>
      <c r="Z22" s="51"/>
      <c r="AA22" s="52"/>
    </row>
    <row r="23" spans="1:27" x14ac:dyDescent="0.2">
      <c r="A23" s="34"/>
      <c r="B23" s="85" t="s">
        <v>50</v>
      </c>
      <c r="C23" s="11">
        <v>27</v>
      </c>
      <c r="D23" s="12">
        <f>Reference!B237</f>
        <v>0</v>
      </c>
      <c r="E23" s="13">
        <f>Reference!C237</f>
        <v>0</v>
      </c>
      <c r="F23" s="13">
        <f>Reference!D237</f>
        <v>0</v>
      </c>
      <c r="G23" s="13">
        <f>Reference!E237</f>
        <v>0</v>
      </c>
      <c r="H23" s="13">
        <f>Reference!F237</f>
        <v>0</v>
      </c>
      <c r="I23" s="13">
        <f>Reference!G237</f>
        <v>0</v>
      </c>
      <c r="J23" s="14">
        <f t="shared" si="2"/>
        <v>0</v>
      </c>
      <c r="L23" s="12">
        <f>Test!B237</f>
        <v>0</v>
      </c>
      <c r="M23" s="13">
        <f>Test!C237</f>
        <v>0</v>
      </c>
      <c r="N23" s="13">
        <f>Test!D237</f>
        <v>0</v>
      </c>
      <c r="O23" s="13">
        <f>Test!E237</f>
        <v>0</v>
      </c>
      <c r="P23" s="13">
        <f>Test!F237</f>
        <v>0</v>
      </c>
      <c r="Q23" s="13">
        <f>Test!G237</f>
        <v>0</v>
      </c>
      <c r="R23" s="14">
        <f t="shared" si="3"/>
        <v>0</v>
      </c>
      <c r="S23" s="17" t="e">
        <f t="shared" si="4"/>
        <v>#DIV/0!</v>
      </c>
      <c r="T23" s="18" t="e">
        <f t="shared" si="5"/>
        <v>#DIV/0!</v>
      </c>
      <c r="U23" s="91"/>
      <c r="V23" s="37" t="e">
        <f>bdrate($D23:$D26,E23:E26,$L23:$L26,M23:M26)</f>
        <v>#VALUE!</v>
      </c>
      <c r="W23" s="42" t="e">
        <f>bdrate($D23:$D26,F23:F26,$L23:$L26,N23:N26)</f>
        <v>#VALUE!</v>
      </c>
      <c r="X23" s="43" t="e">
        <f>bdrate($D23:$D26,G23:G26,$L23:$L26,O23:O26)</f>
        <v>#VALUE!</v>
      </c>
      <c r="Y23" s="37" t="e">
        <f>bdrateOld($D23:$D26,E23:E26,$L23:$L26,M23:M26)</f>
        <v>#VALUE!</v>
      </c>
      <c r="Z23" s="42" t="e">
        <f>bdrateOld($D23:$D26,F23:F26,$L23:$L26,N23:N26)</f>
        <v>#VALUE!</v>
      </c>
      <c r="AA23" s="43" t="e">
        <f>bdrateOld($D23:$D26,G23:G26,$L23:$L26,O23:O26)</f>
        <v>#VALUE!</v>
      </c>
    </row>
    <row r="24" spans="1:27" x14ac:dyDescent="0.2">
      <c r="A24" s="34"/>
      <c r="B24" s="85"/>
      <c r="C24" s="16">
        <v>32</v>
      </c>
      <c r="D24" s="17">
        <f>Reference!B238</f>
        <v>0</v>
      </c>
      <c r="E24" s="18">
        <f>Reference!C238</f>
        <v>0</v>
      </c>
      <c r="F24" s="18">
        <f>Reference!D238</f>
        <v>0</v>
      </c>
      <c r="G24" s="18">
        <f>Reference!E238</f>
        <v>0</v>
      </c>
      <c r="H24" s="18">
        <f>Reference!F238</f>
        <v>0</v>
      </c>
      <c r="I24" s="18">
        <f>Reference!G238</f>
        <v>0</v>
      </c>
      <c r="J24" s="19">
        <f t="shared" si="2"/>
        <v>0</v>
      </c>
      <c r="L24" s="17">
        <f>Test!B238</f>
        <v>0</v>
      </c>
      <c r="M24" s="18">
        <f>Test!C238</f>
        <v>0</v>
      </c>
      <c r="N24" s="18">
        <f>Test!D238</f>
        <v>0</v>
      </c>
      <c r="O24" s="18">
        <f>Test!E238</f>
        <v>0</v>
      </c>
      <c r="P24" s="18">
        <f>Test!F238</f>
        <v>0</v>
      </c>
      <c r="Q24" s="18">
        <f>Test!G238</f>
        <v>0</v>
      </c>
      <c r="R24" s="19">
        <f t="shared" si="3"/>
        <v>0</v>
      </c>
      <c r="S24" s="17" t="e">
        <f t="shared" si="4"/>
        <v>#DIV/0!</v>
      </c>
      <c r="T24" s="18" t="e">
        <f t="shared" si="5"/>
        <v>#DIV/0!</v>
      </c>
      <c r="U24" s="91"/>
      <c r="V24" s="38"/>
      <c r="W24" s="25"/>
      <c r="X24" s="25"/>
      <c r="Y24" s="38"/>
      <c r="Z24" s="25"/>
      <c r="AA24" s="50"/>
    </row>
    <row r="25" spans="1:27" x14ac:dyDescent="0.2">
      <c r="A25" s="34"/>
      <c r="B25" s="83"/>
      <c r="C25" s="16">
        <v>38</v>
      </c>
      <c r="D25" s="17">
        <f>Reference!B239</f>
        <v>0</v>
      </c>
      <c r="E25" s="18">
        <f>Reference!C239</f>
        <v>0</v>
      </c>
      <c r="F25" s="18">
        <f>Reference!D239</f>
        <v>0</v>
      </c>
      <c r="G25" s="18">
        <f>Reference!E239</f>
        <v>0</v>
      </c>
      <c r="H25" s="18">
        <f>Reference!F239</f>
        <v>0</v>
      </c>
      <c r="I25" s="18">
        <f>Reference!G239</f>
        <v>0</v>
      </c>
      <c r="J25" s="19">
        <f t="shared" si="2"/>
        <v>0</v>
      </c>
      <c r="L25" s="17">
        <f>Test!B239</f>
        <v>0</v>
      </c>
      <c r="M25" s="18">
        <f>Test!C239</f>
        <v>0</v>
      </c>
      <c r="N25" s="18">
        <f>Test!D239</f>
        <v>0</v>
      </c>
      <c r="O25" s="18">
        <f>Test!E239</f>
        <v>0</v>
      </c>
      <c r="P25" s="18">
        <f>Test!F239</f>
        <v>0</v>
      </c>
      <c r="Q25" s="18">
        <f>Test!G239</f>
        <v>0</v>
      </c>
      <c r="R25" s="19">
        <f t="shared" si="3"/>
        <v>0</v>
      </c>
      <c r="S25" s="17" t="e">
        <f t="shared" si="4"/>
        <v>#DIV/0!</v>
      </c>
      <c r="T25" s="18" t="e">
        <f t="shared" si="5"/>
        <v>#DIV/0!</v>
      </c>
      <c r="U25" s="91"/>
      <c r="V25" s="38"/>
      <c r="W25" s="25"/>
      <c r="X25" s="25"/>
      <c r="Y25" s="38"/>
      <c r="Z25" s="25"/>
      <c r="AA25" s="50"/>
    </row>
    <row r="26" spans="1:27" ht="12.75" thickBot="1" x14ac:dyDescent="0.25">
      <c r="A26" s="34"/>
      <c r="B26" s="84"/>
      <c r="C26" s="21">
        <v>45</v>
      </c>
      <c r="D26" s="22">
        <f>Reference!B240</f>
        <v>0</v>
      </c>
      <c r="E26" s="23">
        <f>Reference!C240</f>
        <v>0</v>
      </c>
      <c r="F26" s="23">
        <f>Reference!D240</f>
        <v>0</v>
      </c>
      <c r="G26" s="23">
        <f>Reference!E240</f>
        <v>0</v>
      </c>
      <c r="H26" s="23">
        <f>Reference!F240</f>
        <v>0</v>
      </c>
      <c r="I26" s="23">
        <f>Reference!G240</f>
        <v>0</v>
      </c>
      <c r="J26" s="24">
        <f t="shared" si="2"/>
        <v>0</v>
      </c>
      <c r="L26" s="22">
        <f>Test!B240</f>
        <v>0</v>
      </c>
      <c r="M26" s="23">
        <f>Test!C240</f>
        <v>0</v>
      </c>
      <c r="N26" s="23">
        <f>Test!D240</f>
        <v>0</v>
      </c>
      <c r="O26" s="23">
        <f>Test!E240</f>
        <v>0</v>
      </c>
      <c r="P26" s="23">
        <f>Test!F240</f>
        <v>0</v>
      </c>
      <c r="Q26" s="23">
        <f>Test!G240</f>
        <v>0</v>
      </c>
      <c r="R26" s="24">
        <f t="shared" si="3"/>
        <v>0</v>
      </c>
      <c r="S26" s="17" t="e">
        <f t="shared" si="4"/>
        <v>#DIV/0!</v>
      </c>
      <c r="T26" s="18" t="e">
        <f t="shared" si="5"/>
        <v>#DIV/0!</v>
      </c>
      <c r="U26" s="91"/>
      <c r="V26" s="39"/>
      <c r="W26" s="51"/>
      <c r="X26" s="51"/>
      <c r="Y26" s="39"/>
      <c r="Z26" s="51"/>
      <c r="AA26" s="52"/>
    </row>
    <row r="27" spans="1:27" x14ac:dyDescent="0.2">
      <c r="A27" s="16"/>
      <c r="B27" s="48" t="s">
        <v>43</v>
      </c>
      <c r="C27" s="11">
        <v>43</v>
      </c>
      <c r="D27" s="12">
        <f>Reference!B241</f>
        <v>0</v>
      </c>
      <c r="E27" s="13">
        <f>Reference!C241</f>
        <v>0</v>
      </c>
      <c r="F27" s="13">
        <f>Reference!D241</f>
        <v>0</v>
      </c>
      <c r="G27" s="13">
        <f>Reference!E241</f>
        <v>0</v>
      </c>
      <c r="H27" s="13">
        <f>Reference!F241</f>
        <v>0</v>
      </c>
      <c r="I27" s="13">
        <f>Reference!G241</f>
        <v>0</v>
      </c>
      <c r="J27" s="14">
        <f t="shared" si="2"/>
        <v>0</v>
      </c>
      <c r="L27" s="12">
        <f>Test!B241</f>
        <v>0</v>
      </c>
      <c r="M27" s="13">
        <f>Test!C241</f>
        <v>0</v>
      </c>
      <c r="N27" s="13">
        <f>Test!D241</f>
        <v>0</v>
      </c>
      <c r="O27" s="13">
        <f>Test!E241</f>
        <v>0</v>
      </c>
      <c r="P27" s="13">
        <f>Test!F241</f>
        <v>0</v>
      </c>
      <c r="Q27" s="13">
        <f>Test!G241</f>
        <v>0</v>
      </c>
      <c r="R27" s="14">
        <f t="shared" si="3"/>
        <v>0</v>
      </c>
      <c r="S27" s="17" t="e">
        <f t="shared" ref="S27:T46" si="6">P27/H27</f>
        <v>#DIV/0!</v>
      </c>
      <c r="T27" s="18" t="e">
        <f t="shared" si="6"/>
        <v>#DIV/0!</v>
      </c>
      <c r="U27" s="91"/>
      <c r="V27" s="37" t="e">
        <f>bdrate($D27:$D30,E27:E30,$L27:$L30,M27:M30)</f>
        <v>#VALUE!</v>
      </c>
      <c r="W27" s="42" t="e">
        <f>bdrate($D27:$D30,F27:F30,$L27:$L30,N27:N30)</f>
        <v>#VALUE!</v>
      </c>
      <c r="X27" s="43" t="e">
        <f>bdrate($D27:$D30,G27:G30,$L27:$L30,O27:O30)</f>
        <v>#VALUE!</v>
      </c>
      <c r="Y27" s="37" t="e">
        <f>bdrateOld($D27:$D30,E27:E30,$L27:$L30,M27:M30)</f>
        <v>#VALUE!</v>
      </c>
      <c r="Z27" s="42" t="e">
        <f>bdrateOld($D27:$D30,F27:F30,$L27:$L30,N27:N30)</f>
        <v>#VALUE!</v>
      </c>
      <c r="AA27" s="43" t="e">
        <f>bdrateOld($D27:$D30,G27:G30,$L27:$L30,O27:O30)</f>
        <v>#VALUE!</v>
      </c>
    </row>
    <row r="28" spans="1:27" x14ac:dyDescent="0.2">
      <c r="A28" s="16"/>
      <c r="B28" s="85"/>
      <c r="C28" s="16">
        <v>48</v>
      </c>
      <c r="D28" s="17">
        <f>Reference!B242</f>
        <v>0</v>
      </c>
      <c r="E28" s="18">
        <f>Reference!C242</f>
        <v>0</v>
      </c>
      <c r="F28" s="18">
        <f>Reference!D242</f>
        <v>0</v>
      </c>
      <c r="G28" s="18">
        <f>Reference!E242</f>
        <v>0</v>
      </c>
      <c r="H28" s="18">
        <f>Reference!F242</f>
        <v>0</v>
      </c>
      <c r="I28" s="18">
        <f>Reference!G242</f>
        <v>0</v>
      </c>
      <c r="J28" s="19">
        <f t="shared" si="2"/>
        <v>0</v>
      </c>
      <c r="L28" s="17">
        <f>Test!B242</f>
        <v>0</v>
      </c>
      <c r="M28" s="18">
        <f>Test!C242</f>
        <v>0</v>
      </c>
      <c r="N28" s="18">
        <f>Test!D242</f>
        <v>0</v>
      </c>
      <c r="O28" s="18">
        <f>Test!E242</f>
        <v>0</v>
      </c>
      <c r="P28" s="18">
        <f>Test!F242</f>
        <v>0</v>
      </c>
      <c r="Q28" s="18">
        <f>Test!G242</f>
        <v>0</v>
      </c>
      <c r="R28" s="19">
        <f t="shared" si="3"/>
        <v>0</v>
      </c>
      <c r="S28" s="17" t="e">
        <f t="shared" si="6"/>
        <v>#DIV/0!</v>
      </c>
      <c r="T28" s="18" t="e">
        <f t="shared" si="6"/>
        <v>#DIV/0!</v>
      </c>
      <c r="U28" s="91"/>
      <c r="V28" s="38"/>
      <c r="W28" s="25"/>
      <c r="X28" s="50"/>
      <c r="Y28" s="38"/>
      <c r="Z28" s="25"/>
      <c r="AA28" s="50"/>
    </row>
    <row r="29" spans="1:27" x14ac:dyDescent="0.2">
      <c r="A29" s="16"/>
      <c r="B29" s="85"/>
      <c r="C29" s="16">
        <v>54</v>
      </c>
      <c r="D29" s="17">
        <f>Reference!B243</f>
        <v>0</v>
      </c>
      <c r="E29" s="18">
        <f>Reference!C243</f>
        <v>0</v>
      </c>
      <c r="F29" s="18">
        <f>Reference!D243</f>
        <v>0</v>
      </c>
      <c r="G29" s="18">
        <f>Reference!E243</f>
        <v>0</v>
      </c>
      <c r="H29" s="18">
        <f>Reference!F243</f>
        <v>0</v>
      </c>
      <c r="I29" s="18">
        <f>Reference!G243</f>
        <v>0</v>
      </c>
      <c r="J29" s="19">
        <f t="shared" si="2"/>
        <v>0</v>
      </c>
      <c r="L29" s="17">
        <f>Test!B243</f>
        <v>0</v>
      </c>
      <c r="M29" s="18">
        <f>Test!C243</f>
        <v>0</v>
      </c>
      <c r="N29" s="18">
        <f>Test!D243</f>
        <v>0</v>
      </c>
      <c r="O29" s="18">
        <f>Test!E243</f>
        <v>0</v>
      </c>
      <c r="P29" s="18">
        <f>Test!F243</f>
        <v>0</v>
      </c>
      <c r="Q29" s="18">
        <f>Test!G243</f>
        <v>0</v>
      </c>
      <c r="R29" s="19">
        <f t="shared" si="3"/>
        <v>0</v>
      </c>
      <c r="S29" s="17" t="e">
        <f t="shared" si="6"/>
        <v>#DIV/0!</v>
      </c>
      <c r="T29" s="18" t="e">
        <f t="shared" si="6"/>
        <v>#DIV/0!</v>
      </c>
      <c r="U29" s="91"/>
      <c r="V29" s="38"/>
      <c r="W29" s="25"/>
      <c r="X29" s="50"/>
      <c r="Y29" s="38"/>
      <c r="Z29" s="25"/>
      <c r="AA29" s="50"/>
    </row>
    <row r="30" spans="1:27" ht="12.75" thickBot="1" x14ac:dyDescent="0.25">
      <c r="A30" s="16"/>
      <c r="B30" s="86"/>
      <c r="C30" s="21">
        <v>61</v>
      </c>
      <c r="D30" s="22">
        <f>Reference!B244</f>
        <v>0</v>
      </c>
      <c r="E30" s="23">
        <f>Reference!C244</f>
        <v>0</v>
      </c>
      <c r="F30" s="23">
        <f>Reference!D244</f>
        <v>0</v>
      </c>
      <c r="G30" s="23">
        <f>Reference!E244</f>
        <v>0</v>
      </c>
      <c r="H30" s="23">
        <f>Reference!F244</f>
        <v>0</v>
      </c>
      <c r="I30" s="23">
        <f>Reference!G244</f>
        <v>0</v>
      </c>
      <c r="J30" s="24">
        <f t="shared" si="2"/>
        <v>0</v>
      </c>
      <c r="L30" s="22">
        <f>Test!B244</f>
        <v>0</v>
      </c>
      <c r="M30" s="23">
        <f>Test!C244</f>
        <v>0</v>
      </c>
      <c r="N30" s="23">
        <f>Test!D244</f>
        <v>0</v>
      </c>
      <c r="O30" s="23">
        <f>Test!E244</f>
        <v>0</v>
      </c>
      <c r="P30" s="23">
        <f>Test!F244</f>
        <v>0</v>
      </c>
      <c r="Q30" s="23">
        <f>Test!G244</f>
        <v>0</v>
      </c>
      <c r="R30" s="24">
        <f t="shared" si="3"/>
        <v>0</v>
      </c>
      <c r="S30" s="17" t="e">
        <f t="shared" si="6"/>
        <v>#DIV/0!</v>
      </c>
      <c r="T30" s="18" t="e">
        <f t="shared" si="6"/>
        <v>#DIV/0!</v>
      </c>
      <c r="U30" s="91"/>
      <c r="V30" s="39"/>
      <c r="W30" s="51"/>
      <c r="X30" s="52"/>
      <c r="Y30" s="39"/>
      <c r="Z30" s="51"/>
      <c r="AA30" s="52"/>
    </row>
    <row r="31" spans="1:27" x14ac:dyDescent="0.2">
      <c r="A31" s="16"/>
      <c r="B31" s="48" t="s">
        <v>42</v>
      </c>
      <c r="C31" s="11">
        <v>43</v>
      </c>
      <c r="D31" s="12">
        <f>Reference!B245</f>
        <v>0</v>
      </c>
      <c r="E31" s="13">
        <f>Reference!C245</f>
        <v>0</v>
      </c>
      <c r="F31" s="13">
        <f>Reference!D245</f>
        <v>0</v>
      </c>
      <c r="G31" s="13">
        <f>Reference!E245</f>
        <v>0</v>
      </c>
      <c r="H31" s="13">
        <f>Reference!F245</f>
        <v>0</v>
      </c>
      <c r="I31" s="13">
        <f>Reference!G245</f>
        <v>0</v>
      </c>
      <c r="J31" s="14">
        <f t="shared" si="2"/>
        <v>0</v>
      </c>
      <c r="L31" s="12">
        <f>Test!B245</f>
        <v>0</v>
      </c>
      <c r="M31" s="13">
        <f>Test!C245</f>
        <v>0</v>
      </c>
      <c r="N31" s="13">
        <f>Test!D245</f>
        <v>0</v>
      </c>
      <c r="O31" s="13">
        <f>Test!E245</f>
        <v>0</v>
      </c>
      <c r="P31" s="13">
        <f>Test!F245</f>
        <v>0</v>
      </c>
      <c r="Q31" s="13">
        <f>Test!G245</f>
        <v>0</v>
      </c>
      <c r="R31" s="14">
        <f t="shared" si="3"/>
        <v>0</v>
      </c>
      <c r="S31" s="17" t="e">
        <f t="shared" si="6"/>
        <v>#DIV/0!</v>
      </c>
      <c r="T31" s="18" t="e">
        <f t="shared" si="6"/>
        <v>#DIV/0!</v>
      </c>
      <c r="U31" s="91"/>
      <c r="V31" s="37" t="e">
        <f>bdrate($D31:$D34,E31:E34,$L31:$L34,M31:M34)</f>
        <v>#VALUE!</v>
      </c>
      <c r="W31" s="42" t="e">
        <f>bdrate($D31:$D34,F31:F34,$L31:$L34,N31:N34)</f>
        <v>#VALUE!</v>
      </c>
      <c r="X31" s="42" t="e">
        <f>bdrate($D31:$D34,G31:G34,$L31:$L34,O31:O34)</f>
        <v>#VALUE!</v>
      </c>
      <c r="Y31" s="40" t="e">
        <f>bdrateOld($D31:$D34,E31:E34,$L31:$L34,M31:M34)</f>
        <v>#VALUE!</v>
      </c>
      <c r="Z31" s="44" t="e">
        <f>bdrateOld($D31:$D34,F31:F34,$L31:$L34,N31:N34)</f>
        <v>#VALUE!</v>
      </c>
      <c r="AA31" s="45" t="e">
        <f>bdrateOld($D31:$D34,G31:G34,$L31:$L34,O31:O34)</f>
        <v>#VALUE!</v>
      </c>
    </row>
    <row r="32" spans="1:27" x14ac:dyDescent="0.2">
      <c r="A32" s="16"/>
      <c r="B32" s="85"/>
      <c r="C32" s="16">
        <v>48</v>
      </c>
      <c r="D32" s="17">
        <f>Reference!B246</f>
        <v>0</v>
      </c>
      <c r="E32" s="18">
        <f>Reference!C246</f>
        <v>0</v>
      </c>
      <c r="F32" s="18">
        <f>Reference!D246</f>
        <v>0</v>
      </c>
      <c r="G32" s="18">
        <f>Reference!E246</f>
        <v>0</v>
      </c>
      <c r="H32" s="18">
        <f>Reference!F246</f>
        <v>0</v>
      </c>
      <c r="I32" s="18">
        <f>Reference!G246</f>
        <v>0</v>
      </c>
      <c r="J32" s="19">
        <f t="shared" si="2"/>
        <v>0</v>
      </c>
      <c r="L32" s="17">
        <f>Test!B246</f>
        <v>0</v>
      </c>
      <c r="M32" s="18">
        <f>Test!C246</f>
        <v>0</v>
      </c>
      <c r="N32" s="18">
        <f>Test!D246</f>
        <v>0</v>
      </c>
      <c r="O32" s="18">
        <f>Test!E246</f>
        <v>0</v>
      </c>
      <c r="P32" s="18">
        <f>Test!F246</f>
        <v>0</v>
      </c>
      <c r="Q32" s="18">
        <f>Test!G246</f>
        <v>0</v>
      </c>
      <c r="R32" s="19">
        <f t="shared" si="3"/>
        <v>0</v>
      </c>
      <c r="S32" s="17" t="e">
        <f t="shared" si="6"/>
        <v>#DIV/0!</v>
      </c>
      <c r="T32" s="18" t="e">
        <f t="shared" si="6"/>
        <v>#DIV/0!</v>
      </c>
      <c r="U32" s="91"/>
      <c r="V32" s="38"/>
      <c r="W32" s="25"/>
      <c r="X32" s="25"/>
      <c r="Y32" s="38"/>
      <c r="Z32" s="25"/>
      <c r="AA32" s="50"/>
    </row>
    <row r="33" spans="1:27" x14ac:dyDescent="0.2">
      <c r="A33" s="16"/>
      <c r="B33" s="85"/>
      <c r="C33" s="16">
        <v>54</v>
      </c>
      <c r="D33" s="17">
        <f>Reference!B247</f>
        <v>0</v>
      </c>
      <c r="E33" s="18">
        <f>Reference!C247</f>
        <v>0</v>
      </c>
      <c r="F33" s="18">
        <f>Reference!D247</f>
        <v>0</v>
      </c>
      <c r="G33" s="18">
        <f>Reference!E247</f>
        <v>0</v>
      </c>
      <c r="H33" s="18">
        <f>Reference!F247</f>
        <v>0</v>
      </c>
      <c r="I33" s="18">
        <f>Reference!G247</f>
        <v>0</v>
      </c>
      <c r="J33" s="19">
        <f t="shared" si="2"/>
        <v>0</v>
      </c>
      <c r="L33" s="17">
        <f>Test!B247</f>
        <v>0</v>
      </c>
      <c r="M33" s="18">
        <f>Test!C247</f>
        <v>0</v>
      </c>
      <c r="N33" s="18">
        <f>Test!D247</f>
        <v>0</v>
      </c>
      <c r="O33" s="18">
        <f>Test!E247</f>
        <v>0</v>
      </c>
      <c r="P33" s="18">
        <f>Test!F247</f>
        <v>0</v>
      </c>
      <c r="Q33" s="18">
        <f>Test!G247</f>
        <v>0</v>
      </c>
      <c r="R33" s="19">
        <f t="shared" si="3"/>
        <v>0</v>
      </c>
      <c r="S33" s="17" t="e">
        <f t="shared" si="6"/>
        <v>#DIV/0!</v>
      </c>
      <c r="T33" s="18" t="e">
        <f t="shared" si="6"/>
        <v>#DIV/0!</v>
      </c>
      <c r="U33" s="91"/>
      <c r="V33" s="38"/>
      <c r="W33" s="25"/>
      <c r="X33" s="25"/>
      <c r="Y33" s="38"/>
      <c r="Z33" s="25"/>
      <c r="AA33" s="50"/>
    </row>
    <row r="34" spans="1:27" ht="12.75" thickBot="1" x14ac:dyDescent="0.25">
      <c r="A34" s="16"/>
      <c r="B34" s="86"/>
      <c r="C34" s="21">
        <v>61</v>
      </c>
      <c r="D34" s="22">
        <f>Reference!B248</f>
        <v>0</v>
      </c>
      <c r="E34" s="23">
        <f>Reference!C248</f>
        <v>0</v>
      </c>
      <c r="F34" s="23">
        <f>Reference!D248</f>
        <v>0</v>
      </c>
      <c r="G34" s="23">
        <f>Reference!E248</f>
        <v>0</v>
      </c>
      <c r="H34" s="23">
        <f>Reference!F248</f>
        <v>0</v>
      </c>
      <c r="I34" s="23">
        <f>Reference!G248</f>
        <v>0</v>
      </c>
      <c r="J34" s="24">
        <f t="shared" si="2"/>
        <v>0</v>
      </c>
      <c r="L34" s="22">
        <f>Test!B248</f>
        <v>0</v>
      </c>
      <c r="M34" s="23">
        <f>Test!C248</f>
        <v>0</v>
      </c>
      <c r="N34" s="23">
        <f>Test!D248</f>
        <v>0</v>
      </c>
      <c r="O34" s="23">
        <f>Test!E248</f>
        <v>0</v>
      </c>
      <c r="P34" s="23">
        <f>Test!F248</f>
        <v>0</v>
      </c>
      <c r="Q34" s="23">
        <f>Test!G248</f>
        <v>0</v>
      </c>
      <c r="R34" s="24">
        <f t="shared" si="3"/>
        <v>0</v>
      </c>
      <c r="S34" s="17" t="e">
        <f t="shared" si="6"/>
        <v>#DIV/0!</v>
      </c>
      <c r="T34" s="18" t="e">
        <f t="shared" si="6"/>
        <v>#DIV/0!</v>
      </c>
      <c r="U34" s="91"/>
      <c r="V34" s="39"/>
      <c r="W34" s="51"/>
      <c r="X34" s="51"/>
      <c r="Y34" s="39"/>
      <c r="Z34" s="51"/>
      <c r="AA34" s="52"/>
    </row>
    <row r="35" spans="1:27" x14ac:dyDescent="0.2">
      <c r="A35" s="88" t="s">
        <v>51</v>
      </c>
      <c r="B35" s="48" t="s">
        <v>53</v>
      </c>
      <c r="C35" s="11">
        <v>27</v>
      </c>
      <c r="D35" s="12">
        <f>Reference!B249</f>
        <v>0</v>
      </c>
      <c r="E35" s="13">
        <f>Reference!C249</f>
        <v>0</v>
      </c>
      <c r="F35" s="13">
        <f>Reference!D249</f>
        <v>0</v>
      </c>
      <c r="G35" s="13">
        <f>Reference!E249</f>
        <v>0</v>
      </c>
      <c r="H35" s="13">
        <f>Reference!F249</f>
        <v>0</v>
      </c>
      <c r="I35" s="13">
        <f>Reference!G249</f>
        <v>0</v>
      </c>
      <c r="J35" s="14">
        <f t="shared" si="2"/>
        <v>0</v>
      </c>
      <c r="L35" s="12">
        <f>Test!B249</f>
        <v>0</v>
      </c>
      <c r="M35" s="13">
        <f>Test!C249</f>
        <v>0</v>
      </c>
      <c r="N35" s="13">
        <f>Test!D249</f>
        <v>0</v>
      </c>
      <c r="O35" s="13">
        <f>Test!E249</f>
        <v>0</v>
      </c>
      <c r="P35" s="13">
        <f>Test!F249</f>
        <v>0</v>
      </c>
      <c r="Q35" s="13">
        <f>Test!G249</f>
        <v>0</v>
      </c>
      <c r="R35" s="14">
        <f t="shared" si="3"/>
        <v>0</v>
      </c>
      <c r="S35" s="12" t="e">
        <f t="shared" si="6"/>
        <v>#DIV/0!</v>
      </c>
      <c r="T35" s="13" t="e">
        <f t="shared" si="6"/>
        <v>#DIV/0!</v>
      </c>
      <c r="U35" s="90"/>
      <c r="V35" s="37" t="e">
        <f>bdrate($D35:$D38,E35:E38,$L35:$L38,M35:M38)</f>
        <v>#VALUE!</v>
      </c>
      <c r="W35" s="42" t="e">
        <f>bdrate($D35:$D38,F35:F38,$L35:$L38,N35:N38)</f>
        <v>#VALUE!</v>
      </c>
      <c r="X35" s="42" t="e">
        <f>bdrate($D35:$D38,G35:G38,$L35:$L38,O35:O38)</f>
        <v>#VALUE!</v>
      </c>
      <c r="Y35" s="40" t="e">
        <f>bdrateOld($D35:$D38,E35:E38,$L35:$L38,M35:M38)</f>
        <v>#VALUE!</v>
      </c>
      <c r="Z35" s="44" t="e">
        <f>bdrateOld($D35:$D38,F35:F38,$L35:$L38,N35:N38)</f>
        <v>#VALUE!</v>
      </c>
      <c r="AA35" s="45" t="e">
        <f>bdrateOld($D35:$D38,G35:G38,$L35:$L38,O35:O38)</f>
        <v>#VALUE!</v>
      </c>
    </row>
    <row r="36" spans="1:27" x14ac:dyDescent="0.2">
      <c r="A36" s="16" t="s">
        <v>52</v>
      </c>
      <c r="B36" s="85"/>
      <c r="C36" s="16">
        <v>32</v>
      </c>
      <c r="D36" s="17">
        <f>Reference!B250</f>
        <v>0</v>
      </c>
      <c r="E36" s="18">
        <f>Reference!C250</f>
        <v>0</v>
      </c>
      <c r="F36" s="18">
        <f>Reference!D250</f>
        <v>0</v>
      </c>
      <c r="G36" s="18">
        <f>Reference!E250</f>
        <v>0</v>
      </c>
      <c r="H36" s="18">
        <f>Reference!F250</f>
        <v>0</v>
      </c>
      <c r="I36" s="18">
        <f>Reference!G250</f>
        <v>0</v>
      </c>
      <c r="J36" s="19">
        <f t="shared" si="2"/>
        <v>0</v>
      </c>
      <c r="L36" s="17">
        <f>Test!B250</f>
        <v>0</v>
      </c>
      <c r="M36" s="18">
        <f>Test!C250</f>
        <v>0</v>
      </c>
      <c r="N36" s="18">
        <f>Test!D250</f>
        <v>0</v>
      </c>
      <c r="O36" s="18">
        <f>Test!E250</f>
        <v>0</v>
      </c>
      <c r="P36" s="18">
        <f>Test!F250</f>
        <v>0</v>
      </c>
      <c r="Q36" s="18">
        <f>Test!G250</f>
        <v>0</v>
      </c>
      <c r="R36" s="19">
        <f t="shared" si="3"/>
        <v>0</v>
      </c>
      <c r="S36" s="17" t="e">
        <f t="shared" si="6"/>
        <v>#DIV/0!</v>
      </c>
      <c r="T36" s="18" t="e">
        <f t="shared" si="6"/>
        <v>#DIV/0!</v>
      </c>
      <c r="U36" s="91"/>
      <c r="V36" s="38"/>
      <c r="W36" s="25"/>
      <c r="X36" s="25"/>
      <c r="Y36" s="38"/>
      <c r="Z36" s="25"/>
      <c r="AA36" s="50"/>
    </row>
    <row r="37" spans="1:27" x14ac:dyDescent="0.2">
      <c r="A37" s="16"/>
      <c r="B37" s="85"/>
      <c r="C37" s="16">
        <v>38</v>
      </c>
      <c r="D37" s="17">
        <f>Reference!B251</f>
        <v>0</v>
      </c>
      <c r="E37" s="18">
        <f>Reference!C251</f>
        <v>0</v>
      </c>
      <c r="F37" s="18">
        <f>Reference!D251</f>
        <v>0</v>
      </c>
      <c r="G37" s="18">
        <f>Reference!E251</f>
        <v>0</v>
      </c>
      <c r="H37" s="18">
        <f>Reference!F251</f>
        <v>0</v>
      </c>
      <c r="I37" s="18">
        <f>Reference!G251</f>
        <v>0</v>
      </c>
      <c r="J37" s="19">
        <f t="shared" si="2"/>
        <v>0</v>
      </c>
      <c r="L37" s="17">
        <f>Test!B251</f>
        <v>0</v>
      </c>
      <c r="M37" s="18">
        <f>Test!C251</f>
        <v>0</v>
      </c>
      <c r="N37" s="18">
        <f>Test!D251</f>
        <v>0</v>
      </c>
      <c r="O37" s="18">
        <f>Test!E251</f>
        <v>0</v>
      </c>
      <c r="P37" s="18">
        <f>Test!F251</f>
        <v>0</v>
      </c>
      <c r="Q37" s="18">
        <f>Test!G251</f>
        <v>0</v>
      </c>
      <c r="R37" s="19">
        <f t="shared" si="3"/>
        <v>0</v>
      </c>
      <c r="S37" s="17" t="e">
        <f t="shared" si="6"/>
        <v>#DIV/0!</v>
      </c>
      <c r="T37" s="18" t="e">
        <f t="shared" si="6"/>
        <v>#DIV/0!</v>
      </c>
      <c r="U37" s="91"/>
      <c r="V37" s="38"/>
      <c r="W37" s="25"/>
      <c r="X37" s="25"/>
      <c r="Y37" s="38"/>
      <c r="Z37" s="25"/>
      <c r="AA37" s="50"/>
    </row>
    <row r="38" spans="1:27" ht="12.75" thickBot="1" x14ac:dyDescent="0.25">
      <c r="A38" s="16"/>
      <c r="B38" s="86"/>
      <c r="C38" s="21">
        <v>45</v>
      </c>
      <c r="D38" s="22">
        <f>Reference!B252</f>
        <v>0</v>
      </c>
      <c r="E38" s="23">
        <f>Reference!C252</f>
        <v>0</v>
      </c>
      <c r="F38" s="23">
        <f>Reference!D252</f>
        <v>0</v>
      </c>
      <c r="G38" s="23">
        <f>Reference!E252</f>
        <v>0</v>
      </c>
      <c r="H38" s="23">
        <f>Reference!F252</f>
        <v>0</v>
      </c>
      <c r="I38" s="23">
        <f>Reference!G252</f>
        <v>0</v>
      </c>
      <c r="J38" s="24">
        <f t="shared" si="2"/>
        <v>0</v>
      </c>
      <c r="L38" s="22">
        <f>Test!B252</f>
        <v>0</v>
      </c>
      <c r="M38" s="23">
        <f>Test!C252</f>
        <v>0</v>
      </c>
      <c r="N38" s="23">
        <f>Test!D252</f>
        <v>0</v>
      </c>
      <c r="O38" s="23">
        <f>Test!E252</f>
        <v>0</v>
      </c>
      <c r="P38" s="23">
        <f>Test!F252</f>
        <v>0</v>
      </c>
      <c r="Q38" s="23">
        <f>Test!G252</f>
        <v>0</v>
      </c>
      <c r="R38" s="24">
        <f t="shared" si="3"/>
        <v>0</v>
      </c>
      <c r="S38" s="17" t="e">
        <f t="shared" si="6"/>
        <v>#DIV/0!</v>
      </c>
      <c r="T38" s="18" t="e">
        <f t="shared" si="6"/>
        <v>#DIV/0!</v>
      </c>
      <c r="U38" s="91"/>
      <c r="V38" s="39"/>
      <c r="W38" s="51"/>
      <c r="X38" s="51"/>
      <c r="Y38" s="39"/>
      <c r="Z38" s="51"/>
      <c r="AA38" s="52"/>
    </row>
    <row r="39" spans="1:27" x14ac:dyDescent="0.2">
      <c r="A39" s="16"/>
      <c r="B39" s="48" t="s">
        <v>54</v>
      </c>
      <c r="C39" s="11">
        <v>27</v>
      </c>
      <c r="D39" s="12">
        <f>Reference!B253</f>
        <v>0</v>
      </c>
      <c r="E39" s="13">
        <f>Reference!C253</f>
        <v>0</v>
      </c>
      <c r="F39" s="13">
        <f>Reference!D253</f>
        <v>0</v>
      </c>
      <c r="G39" s="13">
        <f>Reference!E253</f>
        <v>0</v>
      </c>
      <c r="H39" s="13">
        <f>Reference!F253</f>
        <v>0</v>
      </c>
      <c r="I39" s="13">
        <f>Reference!G253</f>
        <v>0</v>
      </c>
      <c r="J39" s="14">
        <f t="shared" si="2"/>
        <v>0</v>
      </c>
      <c r="L39" s="12">
        <f>Test!B253</f>
        <v>0</v>
      </c>
      <c r="M39" s="13">
        <f>Test!C253</f>
        <v>0</v>
      </c>
      <c r="N39" s="13">
        <f>Test!D253</f>
        <v>0</v>
      </c>
      <c r="O39" s="13">
        <f>Test!E253</f>
        <v>0</v>
      </c>
      <c r="P39" s="13">
        <f>Test!F253</f>
        <v>0</v>
      </c>
      <c r="Q39" s="13">
        <f>Test!G253</f>
        <v>0</v>
      </c>
      <c r="R39" s="14">
        <f t="shared" si="3"/>
        <v>0</v>
      </c>
      <c r="S39" s="17" t="e">
        <f t="shared" si="6"/>
        <v>#DIV/0!</v>
      </c>
      <c r="T39" s="18" t="e">
        <f t="shared" si="6"/>
        <v>#DIV/0!</v>
      </c>
      <c r="U39" s="91"/>
      <c r="V39" s="37" t="e">
        <f>bdrate($D39:$D42,E39:E42,$L39:$L42,M39:M42)</f>
        <v>#VALUE!</v>
      </c>
      <c r="W39" s="42" t="e">
        <f>bdrate($D39:$D42,F39:F42,$L39:$L42,N39:N42)</f>
        <v>#VALUE!</v>
      </c>
      <c r="X39" s="42" t="e">
        <f>bdrate($D39:$D42,G39:G42,$L39:$L42,O39:O42)</f>
        <v>#VALUE!</v>
      </c>
      <c r="Y39" s="40" t="e">
        <f>bdrateOld($D39:$D42,E39:E42,$L39:$L42,M39:M42)</f>
        <v>#VALUE!</v>
      </c>
      <c r="Z39" s="44" t="e">
        <f>bdrateOld($D39:$D42,F39:F42,$L39:$L42,N39:N42)</f>
        <v>#VALUE!</v>
      </c>
      <c r="AA39" s="45" t="e">
        <f>bdrateOld($D39:$D42,G39:G42,$L39:$L42,O39:O42)</f>
        <v>#VALUE!</v>
      </c>
    </row>
    <row r="40" spans="1:27" x14ac:dyDescent="0.2">
      <c r="A40" s="16"/>
      <c r="B40" s="85"/>
      <c r="C40" s="16">
        <v>32</v>
      </c>
      <c r="D40" s="17">
        <f>Reference!B254</f>
        <v>0</v>
      </c>
      <c r="E40" s="18">
        <f>Reference!C254</f>
        <v>0</v>
      </c>
      <c r="F40" s="18">
        <f>Reference!D254</f>
        <v>0</v>
      </c>
      <c r="G40" s="18">
        <f>Reference!E254</f>
        <v>0</v>
      </c>
      <c r="H40" s="18">
        <f>Reference!F254</f>
        <v>0</v>
      </c>
      <c r="I40" s="18">
        <f>Reference!G254</f>
        <v>0</v>
      </c>
      <c r="J40" s="19">
        <f t="shared" si="2"/>
        <v>0</v>
      </c>
      <c r="L40" s="17">
        <f>Test!B254</f>
        <v>0</v>
      </c>
      <c r="M40" s="18">
        <f>Test!C254</f>
        <v>0</v>
      </c>
      <c r="N40" s="18">
        <f>Test!D254</f>
        <v>0</v>
      </c>
      <c r="O40" s="18">
        <f>Test!E254</f>
        <v>0</v>
      </c>
      <c r="P40" s="18">
        <f>Test!F254</f>
        <v>0</v>
      </c>
      <c r="Q40" s="18">
        <f>Test!G254</f>
        <v>0</v>
      </c>
      <c r="R40" s="19">
        <f t="shared" si="3"/>
        <v>0</v>
      </c>
      <c r="S40" s="17" t="e">
        <f t="shared" si="6"/>
        <v>#DIV/0!</v>
      </c>
      <c r="T40" s="18" t="e">
        <f t="shared" si="6"/>
        <v>#DIV/0!</v>
      </c>
      <c r="U40" s="91"/>
      <c r="V40" s="38"/>
      <c r="W40" s="25"/>
      <c r="X40" s="25"/>
      <c r="Y40" s="38"/>
      <c r="Z40" s="25"/>
      <c r="AA40" s="50"/>
    </row>
    <row r="41" spans="1:27" x14ac:dyDescent="0.2">
      <c r="A41" s="16"/>
      <c r="B41" s="85"/>
      <c r="C41" s="16">
        <v>38</v>
      </c>
      <c r="D41" s="17">
        <f>Reference!B255</f>
        <v>0</v>
      </c>
      <c r="E41" s="18">
        <f>Reference!C255</f>
        <v>0</v>
      </c>
      <c r="F41" s="18">
        <f>Reference!D255</f>
        <v>0</v>
      </c>
      <c r="G41" s="18">
        <f>Reference!E255</f>
        <v>0</v>
      </c>
      <c r="H41" s="18">
        <f>Reference!F255</f>
        <v>0</v>
      </c>
      <c r="I41" s="18">
        <f>Reference!G255</f>
        <v>0</v>
      </c>
      <c r="J41" s="19">
        <f t="shared" si="2"/>
        <v>0</v>
      </c>
      <c r="L41" s="17">
        <f>Test!B255</f>
        <v>0</v>
      </c>
      <c r="M41" s="18">
        <f>Test!C255</f>
        <v>0</v>
      </c>
      <c r="N41" s="18">
        <f>Test!D255</f>
        <v>0</v>
      </c>
      <c r="O41" s="18">
        <f>Test!E255</f>
        <v>0</v>
      </c>
      <c r="P41" s="18">
        <f>Test!F255</f>
        <v>0</v>
      </c>
      <c r="Q41" s="18">
        <f>Test!G255</f>
        <v>0</v>
      </c>
      <c r="R41" s="19">
        <f t="shared" si="3"/>
        <v>0</v>
      </c>
      <c r="S41" s="17" t="e">
        <f t="shared" si="6"/>
        <v>#DIV/0!</v>
      </c>
      <c r="T41" s="18" t="e">
        <f t="shared" si="6"/>
        <v>#DIV/0!</v>
      </c>
      <c r="U41" s="91"/>
      <c r="V41" s="38"/>
      <c r="W41" s="25"/>
      <c r="X41" s="25"/>
      <c r="Y41" s="38"/>
      <c r="Z41" s="25"/>
      <c r="AA41" s="50"/>
    </row>
    <row r="42" spans="1:27" ht="12.75" thickBot="1" x14ac:dyDescent="0.25">
      <c r="A42" s="16"/>
      <c r="B42" s="86"/>
      <c r="C42" s="21">
        <v>45</v>
      </c>
      <c r="D42" s="22">
        <f>Reference!B256</f>
        <v>0</v>
      </c>
      <c r="E42" s="23">
        <f>Reference!C256</f>
        <v>0</v>
      </c>
      <c r="F42" s="23">
        <f>Reference!D256</f>
        <v>0</v>
      </c>
      <c r="G42" s="23">
        <f>Reference!E256</f>
        <v>0</v>
      </c>
      <c r="H42" s="23">
        <f>Reference!F256</f>
        <v>0</v>
      </c>
      <c r="I42" s="23">
        <f>Reference!G256</f>
        <v>0</v>
      </c>
      <c r="J42" s="24">
        <f t="shared" si="2"/>
        <v>0</v>
      </c>
      <c r="L42" s="22">
        <f>Test!B256</f>
        <v>0</v>
      </c>
      <c r="M42" s="23">
        <f>Test!C256</f>
        <v>0</v>
      </c>
      <c r="N42" s="23">
        <f>Test!D256</f>
        <v>0</v>
      </c>
      <c r="O42" s="23">
        <f>Test!E256</f>
        <v>0</v>
      </c>
      <c r="P42" s="23">
        <f>Test!F256</f>
        <v>0</v>
      </c>
      <c r="Q42" s="23">
        <f>Test!G256</f>
        <v>0</v>
      </c>
      <c r="R42" s="24">
        <f t="shared" si="3"/>
        <v>0</v>
      </c>
      <c r="S42" s="17" t="e">
        <f t="shared" si="6"/>
        <v>#DIV/0!</v>
      </c>
      <c r="T42" s="18" t="e">
        <f t="shared" si="6"/>
        <v>#DIV/0!</v>
      </c>
      <c r="U42" s="91"/>
      <c r="V42" s="39"/>
      <c r="W42" s="51"/>
      <c r="X42" s="51"/>
      <c r="Y42" s="39"/>
      <c r="Z42" s="51"/>
      <c r="AA42" s="52"/>
    </row>
    <row r="43" spans="1:27" x14ac:dyDescent="0.2">
      <c r="A43" s="16"/>
      <c r="B43" s="48" t="s">
        <v>55</v>
      </c>
      <c r="C43" s="11">
        <v>27</v>
      </c>
      <c r="D43" s="12">
        <f>Reference!B257</f>
        <v>0</v>
      </c>
      <c r="E43" s="13">
        <f>Reference!C257</f>
        <v>0</v>
      </c>
      <c r="F43" s="13">
        <f>Reference!D257</f>
        <v>0</v>
      </c>
      <c r="G43" s="13">
        <f>Reference!E257</f>
        <v>0</v>
      </c>
      <c r="H43" s="13">
        <f>Reference!F257</f>
        <v>0</v>
      </c>
      <c r="I43" s="13">
        <f>Reference!G257</f>
        <v>0</v>
      </c>
      <c r="J43" s="14">
        <f t="shared" si="2"/>
        <v>0</v>
      </c>
      <c r="L43" s="12">
        <f>Test!B257</f>
        <v>0</v>
      </c>
      <c r="M43" s="13">
        <f>Test!C257</f>
        <v>0</v>
      </c>
      <c r="N43" s="13">
        <f>Test!D257</f>
        <v>0</v>
      </c>
      <c r="O43" s="13">
        <f>Test!E257</f>
        <v>0</v>
      </c>
      <c r="P43" s="13">
        <f>Test!F257</f>
        <v>0</v>
      </c>
      <c r="Q43" s="13">
        <f>Test!G257</f>
        <v>0</v>
      </c>
      <c r="R43" s="14">
        <f t="shared" si="3"/>
        <v>0</v>
      </c>
      <c r="S43" s="17" t="e">
        <f t="shared" si="6"/>
        <v>#DIV/0!</v>
      </c>
      <c r="T43" s="18" t="e">
        <f t="shared" si="6"/>
        <v>#DIV/0!</v>
      </c>
      <c r="U43" s="91"/>
      <c r="V43" s="37" t="e">
        <f>bdrate($D43:$D46,E43:E46,$L43:$L46,M43:M46)</f>
        <v>#VALUE!</v>
      </c>
      <c r="W43" s="42" t="e">
        <f>bdrate($D43:$D46,F43:F46,$L43:$L46,N43:N46)</f>
        <v>#VALUE!</v>
      </c>
      <c r="X43" s="42" t="e">
        <f>bdrate($D43:$D46,G43:G46,$L43:$L46,O43:O46)</f>
        <v>#VALUE!</v>
      </c>
      <c r="Y43" s="40" t="e">
        <f>bdrateOld($D43:$D46,E43:E46,$L43:$L46,M43:M46)</f>
        <v>#VALUE!</v>
      </c>
      <c r="Z43" s="44" t="e">
        <f>bdrateOld($D43:$D46,F43:F46,$L43:$L46,N43:N46)</f>
        <v>#VALUE!</v>
      </c>
      <c r="AA43" s="45" t="e">
        <f>bdrateOld($D43:$D46,G43:G46,$L43:$L46,O43:O46)</f>
        <v>#VALUE!</v>
      </c>
    </row>
    <row r="44" spans="1:27" x14ac:dyDescent="0.2">
      <c r="A44" s="16"/>
      <c r="B44" s="85"/>
      <c r="C44" s="16">
        <v>32</v>
      </c>
      <c r="D44" s="17">
        <f>Reference!B258</f>
        <v>0</v>
      </c>
      <c r="E44" s="18">
        <f>Reference!C258</f>
        <v>0</v>
      </c>
      <c r="F44" s="18">
        <f>Reference!D258</f>
        <v>0</v>
      </c>
      <c r="G44" s="18">
        <f>Reference!E258</f>
        <v>0</v>
      </c>
      <c r="H44" s="18">
        <f>Reference!F258</f>
        <v>0</v>
      </c>
      <c r="I44" s="18">
        <f>Reference!G258</f>
        <v>0</v>
      </c>
      <c r="J44" s="19">
        <f t="shared" si="2"/>
        <v>0</v>
      </c>
      <c r="L44" s="17">
        <f>Test!B258</f>
        <v>0</v>
      </c>
      <c r="M44" s="18">
        <f>Test!C258</f>
        <v>0</v>
      </c>
      <c r="N44" s="18">
        <f>Test!D258</f>
        <v>0</v>
      </c>
      <c r="O44" s="18">
        <f>Test!E258</f>
        <v>0</v>
      </c>
      <c r="P44" s="18">
        <f>Test!F258</f>
        <v>0</v>
      </c>
      <c r="Q44" s="18">
        <f>Test!G258</f>
        <v>0</v>
      </c>
      <c r="R44" s="19">
        <f t="shared" si="3"/>
        <v>0</v>
      </c>
      <c r="S44" s="17" t="e">
        <f t="shared" si="6"/>
        <v>#DIV/0!</v>
      </c>
      <c r="T44" s="18" t="e">
        <f t="shared" si="6"/>
        <v>#DIV/0!</v>
      </c>
      <c r="U44" s="91"/>
      <c r="V44" s="38"/>
      <c r="W44" s="25"/>
      <c r="X44" s="25"/>
      <c r="Y44" s="38"/>
      <c r="Z44" s="25"/>
      <c r="AA44" s="50"/>
    </row>
    <row r="45" spans="1:27" x14ac:dyDescent="0.2">
      <c r="A45" s="16"/>
      <c r="B45" s="85"/>
      <c r="C45" s="16">
        <v>38</v>
      </c>
      <c r="D45" s="17">
        <f>Reference!B259</f>
        <v>0</v>
      </c>
      <c r="E45" s="18">
        <f>Reference!C259</f>
        <v>0</v>
      </c>
      <c r="F45" s="18">
        <f>Reference!D259</f>
        <v>0</v>
      </c>
      <c r="G45" s="18">
        <f>Reference!E259</f>
        <v>0</v>
      </c>
      <c r="H45" s="18">
        <f>Reference!F259</f>
        <v>0</v>
      </c>
      <c r="I45" s="18">
        <f>Reference!G259</f>
        <v>0</v>
      </c>
      <c r="J45" s="19">
        <f t="shared" si="2"/>
        <v>0</v>
      </c>
      <c r="L45" s="17">
        <f>Test!B259</f>
        <v>0</v>
      </c>
      <c r="M45" s="18">
        <f>Test!C259</f>
        <v>0</v>
      </c>
      <c r="N45" s="18">
        <f>Test!D259</f>
        <v>0</v>
      </c>
      <c r="O45" s="18">
        <f>Test!E259</f>
        <v>0</v>
      </c>
      <c r="P45" s="18">
        <f>Test!F259</f>
        <v>0</v>
      </c>
      <c r="Q45" s="18">
        <f>Test!G259</f>
        <v>0</v>
      </c>
      <c r="R45" s="19">
        <f t="shared" si="3"/>
        <v>0</v>
      </c>
      <c r="S45" s="17" t="e">
        <f t="shared" si="6"/>
        <v>#DIV/0!</v>
      </c>
      <c r="T45" s="18" t="e">
        <f t="shared" si="6"/>
        <v>#DIV/0!</v>
      </c>
      <c r="U45" s="91"/>
      <c r="V45" s="38"/>
      <c r="W45" s="25"/>
      <c r="X45" s="25"/>
      <c r="Y45" s="38"/>
      <c r="Z45" s="25"/>
      <c r="AA45" s="50"/>
    </row>
    <row r="46" spans="1:27" ht="12.75" thickBot="1" x14ac:dyDescent="0.25">
      <c r="A46" s="16"/>
      <c r="B46" s="86"/>
      <c r="C46" s="21">
        <v>45</v>
      </c>
      <c r="D46" s="22">
        <f>Reference!B260</f>
        <v>0</v>
      </c>
      <c r="E46" s="23">
        <f>Reference!C260</f>
        <v>0</v>
      </c>
      <c r="F46" s="23">
        <f>Reference!D260</f>
        <v>0</v>
      </c>
      <c r="G46" s="23">
        <f>Reference!E260</f>
        <v>0</v>
      </c>
      <c r="H46" s="23">
        <f>Reference!F260</f>
        <v>0</v>
      </c>
      <c r="I46" s="23">
        <f>Reference!G260</f>
        <v>0</v>
      </c>
      <c r="J46" s="24">
        <f t="shared" si="2"/>
        <v>0</v>
      </c>
      <c r="L46" s="22">
        <f>Test!B260</f>
        <v>0</v>
      </c>
      <c r="M46" s="23">
        <f>Test!C260</f>
        <v>0</v>
      </c>
      <c r="N46" s="23">
        <f>Test!D260</f>
        <v>0</v>
      </c>
      <c r="O46" s="23">
        <f>Test!E260</f>
        <v>0</v>
      </c>
      <c r="P46" s="23">
        <f>Test!F260</f>
        <v>0</v>
      </c>
      <c r="Q46" s="23">
        <f>Test!G260</f>
        <v>0</v>
      </c>
      <c r="R46" s="24">
        <f t="shared" si="3"/>
        <v>0</v>
      </c>
      <c r="S46" s="17" t="e">
        <f t="shared" si="6"/>
        <v>#DIV/0!</v>
      </c>
      <c r="T46" s="18" t="e">
        <f t="shared" si="6"/>
        <v>#DIV/0!</v>
      </c>
      <c r="U46" s="91"/>
      <c r="V46" s="39"/>
      <c r="W46" s="51"/>
      <c r="X46" s="51"/>
      <c r="Y46" s="39"/>
      <c r="Z46" s="51"/>
      <c r="AA46" s="52"/>
    </row>
    <row r="47" spans="1:27" x14ac:dyDescent="0.2">
      <c r="A47" s="16"/>
      <c r="B47" s="48" t="s">
        <v>56</v>
      </c>
      <c r="C47" s="11">
        <v>27</v>
      </c>
      <c r="D47" s="12">
        <f>Reference!B261</f>
        <v>0</v>
      </c>
      <c r="E47" s="13">
        <f>Reference!C261</f>
        <v>0</v>
      </c>
      <c r="F47" s="13">
        <f>Reference!D261</f>
        <v>0</v>
      </c>
      <c r="G47" s="13">
        <f>Reference!E261</f>
        <v>0</v>
      </c>
      <c r="H47" s="13">
        <f>Reference!F261</f>
        <v>0</v>
      </c>
      <c r="I47" s="13">
        <f>Reference!G261</f>
        <v>0</v>
      </c>
      <c r="J47" s="14">
        <f t="shared" si="2"/>
        <v>0</v>
      </c>
      <c r="L47" s="12">
        <f>Test!B261</f>
        <v>0</v>
      </c>
      <c r="M47" s="13">
        <f>Test!C261</f>
        <v>0</v>
      </c>
      <c r="N47" s="13">
        <f>Test!D261</f>
        <v>0</v>
      </c>
      <c r="O47" s="13">
        <f>Test!E261</f>
        <v>0</v>
      </c>
      <c r="P47" s="13">
        <f>Test!F261</f>
        <v>0</v>
      </c>
      <c r="Q47" s="13">
        <f>Test!G261</f>
        <v>0</v>
      </c>
      <c r="R47" s="14">
        <f t="shared" si="3"/>
        <v>0</v>
      </c>
      <c r="S47" s="17" t="e">
        <f t="shared" ref="S47:T62" si="7">P47/H47</f>
        <v>#DIV/0!</v>
      </c>
      <c r="T47" s="18" t="e">
        <f t="shared" si="7"/>
        <v>#DIV/0!</v>
      </c>
      <c r="U47" s="91"/>
      <c r="V47" s="37" t="e">
        <f>bdrate($D47:$D50,E47:E50,$L47:$L50,M47:M50)</f>
        <v>#VALUE!</v>
      </c>
      <c r="W47" s="42" t="e">
        <f>bdrate($D47:$D50,F47:F50,$L47:$L50,N47:N50)</f>
        <v>#VALUE!</v>
      </c>
      <c r="X47" s="43" t="e">
        <f>bdrate($D47:$D50,G47:G50,$L47:$L50,O47:O50)</f>
        <v>#VALUE!</v>
      </c>
      <c r="Y47" s="37" t="e">
        <f>bdrateOld($D47:$D50,E47:E50,$L47:$L50,M47:M50)</f>
        <v>#VALUE!</v>
      </c>
      <c r="Z47" s="42" t="e">
        <f>bdrateOld($D47:$D50,F47:F50,$L47:$L50,N47:N50)</f>
        <v>#VALUE!</v>
      </c>
      <c r="AA47" s="43" t="e">
        <f>bdrateOld($D47:$D50,G47:G50,$L47:$L50,O47:O50)</f>
        <v>#VALUE!</v>
      </c>
    </row>
    <row r="48" spans="1:27" x14ac:dyDescent="0.2">
      <c r="A48" s="16"/>
      <c r="B48" s="85"/>
      <c r="C48" s="16">
        <v>32</v>
      </c>
      <c r="D48" s="17">
        <f>Reference!B262</f>
        <v>0</v>
      </c>
      <c r="E48" s="18">
        <f>Reference!C262</f>
        <v>0</v>
      </c>
      <c r="F48" s="18">
        <f>Reference!D262</f>
        <v>0</v>
      </c>
      <c r="G48" s="18">
        <f>Reference!E262</f>
        <v>0</v>
      </c>
      <c r="H48" s="18">
        <f>Reference!F262</f>
        <v>0</v>
      </c>
      <c r="I48" s="18">
        <f>Reference!G262</f>
        <v>0</v>
      </c>
      <c r="J48" s="19">
        <f t="shared" si="2"/>
        <v>0</v>
      </c>
      <c r="L48" s="17">
        <f>Test!B262</f>
        <v>0</v>
      </c>
      <c r="M48" s="18">
        <f>Test!C262</f>
        <v>0</v>
      </c>
      <c r="N48" s="18">
        <f>Test!D262</f>
        <v>0</v>
      </c>
      <c r="O48" s="18">
        <f>Test!E262</f>
        <v>0</v>
      </c>
      <c r="P48" s="18">
        <f>Test!F262</f>
        <v>0</v>
      </c>
      <c r="Q48" s="18">
        <f>Test!G262</f>
        <v>0</v>
      </c>
      <c r="R48" s="19">
        <f t="shared" si="3"/>
        <v>0</v>
      </c>
      <c r="S48" s="17" t="e">
        <f t="shared" si="7"/>
        <v>#DIV/0!</v>
      </c>
      <c r="T48" s="18" t="e">
        <f t="shared" si="7"/>
        <v>#DIV/0!</v>
      </c>
      <c r="U48" s="91"/>
      <c r="V48" s="38"/>
      <c r="W48" s="25"/>
      <c r="X48" s="50"/>
      <c r="Y48" s="38"/>
      <c r="Z48" s="25"/>
      <c r="AA48" s="50"/>
    </row>
    <row r="49" spans="1:27" x14ac:dyDescent="0.2">
      <c r="A49" s="16"/>
      <c r="B49" s="85"/>
      <c r="C49" s="16">
        <v>38</v>
      </c>
      <c r="D49" s="17">
        <f>Reference!B263</f>
        <v>0</v>
      </c>
      <c r="E49" s="18">
        <f>Reference!C263</f>
        <v>0</v>
      </c>
      <c r="F49" s="18">
        <f>Reference!D263</f>
        <v>0</v>
      </c>
      <c r="G49" s="18">
        <f>Reference!E263</f>
        <v>0</v>
      </c>
      <c r="H49" s="18">
        <f>Reference!F263</f>
        <v>0</v>
      </c>
      <c r="I49" s="18">
        <f>Reference!G263</f>
        <v>0</v>
      </c>
      <c r="J49" s="19">
        <f t="shared" si="2"/>
        <v>0</v>
      </c>
      <c r="L49" s="17">
        <f>Test!B263</f>
        <v>0</v>
      </c>
      <c r="M49" s="18">
        <f>Test!C263</f>
        <v>0</v>
      </c>
      <c r="N49" s="18">
        <f>Test!D263</f>
        <v>0</v>
      </c>
      <c r="O49" s="18">
        <f>Test!E263</f>
        <v>0</v>
      </c>
      <c r="P49" s="18">
        <f>Test!F263</f>
        <v>0</v>
      </c>
      <c r="Q49" s="18">
        <f>Test!G263</f>
        <v>0</v>
      </c>
      <c r="R49" s="19">
        <f t="shared" si="3"/>
        <v>0</v>
      </c>
      <c r="S49" s="17" t="e">
        <f t="shared" si="7"/>
        <v>#DIV/0!</v>
      </c>
      <c r="T49" s="18" t="e">
        <f t="shared" si="7"/>
        <v>#DIV/0!</v>
      </c>
      <c r="U49" s="91"/>
      <c r="V49" s="38"/>
      <c r="W49" s="25"/>
      <c r="X49" s="50"/>
      <c r="Y49" s="38"/>
      <c r="Z49" s="25"/>
      <c r="AA49" s="50"/>
    </row>
    <row r="50" spans="1:27" ht="12.75" thickBot="1" x14ac:dyDescent="0.25">
      <c r="A50" s="21"/>
      <c r="B50" s="86"/>
      <c r="C50" s="21">
        <v>45</v>
      </c>
      <c r="D50" s="22">
        <f>Reference!B264</f>
        <v>0</v>
      </c>
      <c r="E50" s="23">
        <f>Reference!C264</f>
        <v>0</v>
      </c>
      <c r="F50" s="23">
        <f>Reference!D264</f>
        <v>0</v>
      </c>
      <c r="G50" s="23">
        <f>Reference!E264</f>
        <v>0</v>
      </c>
      <c r="H50" s="23">
        <f>Reference!F264</f>
        <v>0</v>
      </c>
      <c r="I50" s="23">
        <f>Reference!G264</f>
        <v>0</v>
      </c>
      <c r="J50" s="24">
        <f t="shared" si="2"/>
        <v>0</v>
      </c>
      <c r="L50" s="22">
        <f>Test!B264</f>
        <v>0</v>
      </c>
      <c r="M50" s="23">
        <f>Test!C264</f>
        <v>0</v>
      </c>
      <c r="N50" s="23">
        <f>Test!D264</f>
        <v>0</v>
      </c>
      <c r="O50" s="23">
        <f>Test!E264</f>
        <v>0</v>
      </c>
      <c r="P50" s="23">
        <f>Test!F264</f>
        <v>0</v>
      </c>
      <c r="Q50" s="23">
        <f>Test!G264</f>
        <v>0</v>
      </c>
      <c r="R50" s="24">
        <f t="shared" si="3"/>
        <v>0</v>
      </c>
      <c r="S50" s="22" t="e">
        <f t="shared" si="7"/>
        <v>#DIV/0!</v>
      </c>
      <c r="T50" s="23" t="e">
        <f t="shared" si="7"/>
        <v>#DIV/0!</v>
      </c>
      <c r="U50" s="92"/>
      <c r="V50" s="39"/>
      <c r="W50" s="51"/>
      <c r="X50" s="52"/>
      <c r="Y50" s="39"/>
      <c r="Z50" s="51"/>
      <c r="AA50" s="52"/>
    </row>
    <row r="51" spans="1:27" x14ac:dyDescent="0.2">
      <c r="A51" s="88" t="s">
        <v>57</v>
      </c>
      <c r="B51" s="11" t="s">
        <v>58</v>
      </c>
      <c r="C51" s="11">
        <v>43</v>
      </c>
      <c r="D51" s="12">
        <f>Reference!B265</f>
        <v>0</v>
      </c>
      <c r="E51" s="13">
        <f>Reference!C265</f>
        <v>0</v>
      </c>
      <c r="F51" s="13">
        <f>Reference!D265</f>
        <v>0</v>
      </c>
      <c r="G51" s="13">
        <f>Reference!E265</f>
        <v>0</v>
      </c>
      <c r="H51" s="13">
        <f>Reference!F265</f>
        <v>0</v>
      </c>
      <c r="I51" s="13">
        <f>Reference!G265</f>
        <v>0</v>
      </c>
      <c r="J51" s="14">
        <f t="shared" si="2"/>
        <v>0</v>
      </c>
      <c r="L51" s="12">
        <f>Test!B265</f>
        <v>0</v>
      </c>
      <c r="M51" s="13">
        <f>Test!C265</f>
        <v>0</v>
      </c>
      <c r="N51" s="13">
        <f>Test!D265</f>
        <v>0</v>
      </c>
      <c r="O51" s="13">
        <f>Test!E265</f>
        <v>0</v>
      </c>
      <c r="P51" s="13">
        <f>Test!F265</f>
        <v>0</v>
      </c>
      <c r="Q51" s="13">
        <f>Test!G265</f>
        <v>0</v>
      </c>
      <c r="R51" s="14">
        <f t="shared" si="3"/>
        <v>0</v>
      </c>
      <c r="S51" s="12" t="e">
        <f t="shared" si="7"/>
        <v>#DIV/0!</v>
      </c>
      <c r="T51" s="13" t="e">
        <f t="shared" si="7"/>
        <v>#DIV/0!</v>
      </c>
      <c r="U51" s="90"/>
      <c r="V51" s="37" t="e">
        <f>bdrate($D51:$D54,E51:E54,$L51:$L54,M51:M54)</f>
        <v>#VALUE!</v>
      </c>
      <c r="W51" s="42" t="e">
        <f>bdrate($D51:$D54,F51:F54,$L51:$L54,N51:N54)</f>
        <v>#VALUE!</v>
      </c>
      <c r="X51" s="42" t="e">
        <f>bdrate($D51:$D54,G51:G54,$L51:$L54,O51:O54)</f>
        <v>#VALUE!</v>
      </c>
      <c r="Y51" s="40" t="e">
        <f>bdrateOld($D51:$D54,E51:E54,$L51:$L54,M51:M54)</f>
        <v>#VALUE!</v>
      </c>
      <c r="Z51" s="44" t="e">
        <f>bdrateOld($D51:$D54,F51:F54,$L51:$L54,N51:N54)</f>
        <v>#VALUE!</v>
      </c>
      <c r="AA51" s="45" t="e">
        <f>bdrateOld($D51:$D54,G51:G54,$L51:$L54,O51:O54)</f>
        <v>#VALUE!</v>
      </c>
    </row>
    <row r="52" spans="1:27" x14ac:dyDescent="0.2">
      <c r="A52" s="16" t="s">
        <v>48</v>
      </c>
      <c r="B52" s="16"/>
      <c r="C52" s="16">
        <v>48</v>
      </c>
      <c r="D52" s="17">
        <f>Reference!B266</f>
        <v>0</v>
      </c>
      <c r="E52" s="18">
        <f>Reference!C266</f>
        <v>0</v>
      </c>
      <c r="F52" s="18">
        <f>Reference!D266</f>
        <v>0</v>
      </c>
      <c r="G52" s="18">
        <f>Reference!E266</f>
        <v>0</v>
      </c>
      <c r="H52" s="18">
        <f>Reference!F266</f>
        <v>0</v>
      </c>
      <c r="I52" s="18">
        <f>Reference!G266</f>
        <v>0</v>
      </c>
      <c r="J52" s="19">
        <f t="shared" si="2"/>
        <v>0</v>
      </c>
      <c r="L52" s="17">
        <f>Test!B266</f>
        <v>0</v>
      </c>
      <c r="M52" s="18">
        <f>Test!C266</f>
        <v>0</v>
      </c>
      <c r="N52" s="18">
        <f>Test!D266</f>
        <v>0</v>
      </c>
      <c r="O52" s="18">
        <f>Test!E266</f>
        <v>0</v>
      </c>
      <c r="P52" s="18">
        <f>Test!F266</f>
        <v>0</v>
      </c>
      <c r="Q52" s="18">
        <f>Test!G266</f>
        <v>0</v>
      </c>
      <c r="R52" s="19">
        <f t="shared" si="3"/>
        <v>0</v>
      </c>
      <c r="S52" s="17" t="e">
        <f t="shared" si="7"/>
        <v>#DIV/0!</v>
      </c>
      <c r="T52" s="18" t="e">
        <f t="shared" si="7"/>
        <v>#DIV/0!</v>
      </c>
      <c r="U52" s="91"/>
      <c r="V52" s="38"/>
      <c r="W52" s="25"/>
      <c r="X52" s="25"/>
      <c r="Y52" s="38"/>
      <c r="Z52" s="25"/>
      <c r="AA52" s="50"/>
    </row>
    <row r="53" spans="1:27" x14ac:dyDescent="0.2">
      <c r="A53" s="16"/>
      <c r="B53" s="16"/>
      <c r="C53" s="16">
        <v>54</v>
      </c>
      <c r="D53" s="17">
        <f>Reference!B267</f>
        <v>0</v>
      </c>
      <c r="E53" s="18">
        <f>Reference!C267</f>
        <v>0</v>
      </c>
      <c r="F53" s="18">
        <f>Reference!D267</f>
        <v>0</v>
      </c>
      <c r="G53" s="18">
        <f>Reference!E267</f>
        <v>0</v>
      </c>
      <c r="H53" s="18">
        <f>Reference!F267</f>
        <v>0</v>
      </c>
      <c r="I53" s="18">
        <f>Reference!G267</f>
        <v>0</v>
      </c>
      <c r="J53" s="19">
        <f t="shared" si="2"/>
        <v>0</v>
      </c>
      <c r="L53" s="17">
        <f>Test!B267</f>
        <v>0</v>
      </c>
      <c r="M53" s="18">
        <f>Test!C267</f>
        <v>0</v>
      </c>
      <c r="N53" s="18">
        <f>Test!D267</f>
        <v>0</v>
      </c>
      <c r="O53" s="18">
        <f>Test!E267</f>
        <v>0</v>
      </c>
      <c r="P53" s="18">
        <f>Test!F267</f>
        <v>0</v>
      </c>
      <c r="Q53" s="18">
        <f>Test!G267</f>
        <v>0</v>
      </c>
      <c r="R53" s="19">
        <f t="shared" si="3"/>
        <v>0</v>
      </c>
      <c r="S53" s="17" t="e">
        <f t="shared" si="7"/>
        <v>#DIV/0!</v>
      </c>
      <c r="T53" s="18" t="e">
        <f t="shared" si="7"/>
        <v>#DIV/0!</v>
      </c>
      <c r="U53" s="91"/>
      <c r="V53" s="38"/>
      <c r="W53" s="25"/>
      <c r="X53" s="25"/>
      <c r="Y53" s="38"/>
      <c r="Z53" s="25"/>
      <c r="AA53" s="50"/>
    </row>
    <row r="54" spans="1:27" ht="12.75" thickBot="1" x14ac:dyDescent="0.25">
      <c r="A54" s="16"/>
      <c r="B54" s="21"/>
      <c r="C54" s="21">
        <v>61</v>
      </c>
      <c r="D54" s="22">
        <f>Reference!B268</f>
        <v>0</v>
      </c>
      <c r="E54" s="23">
        <f>Reference!C268</f>
        <v>0</v>
      </c>
      <c r="F54" s="23">
        <f>Reference!D268</f>
        <v>0</v>
      </c>
      <c r="G54" s="23">
        <f>Reference!E268</f>
        <v>0</v>
      </c>
      <c r="H54" s="23">
        <f>Reference!F268</f>
        <v>0</v>
      </c>
      <c r="I54" s="23">
        <f>Reference!G268</f>
        <v>0</v>
      </c>
      <c r="J54" s="24">
        <f t="shared" si="2"/>
        <v>0</v>
      </c>
      <c r="L54" s="22">
        <f>Test!B268</f>
        <v>0</v>
      </c>
      <c r="M54" s="23">
        <f>Test!C268</f>
        <v>0</v>
      </c>
      <c r="N54" s="23">
        <f>Test!D268</f>
        <v>0</v>
      </c>
      <c r="O54" s="23">
        <f>Test!E268</f>
        <v>0</v>
      </c>
      <c r="P54" s="23">
        <f>Test!F268</f>
        <v>0</v>
      </c>
      <c r="Q54" s="23">
        <f>Test!G268</f>
        <v>0</v>
      </c>
      <c r="R54" s="24">
        <f t="shared" si="3"/>
        <v>0</v>
      </c>
      <c r="S54" s="17" t="e">
        <f t="shared" si="7"/>
        <v>#DIV/0!</v>
      </c>
      <c r="T54" s="18" t="e">
        <f t="shared" si="7"/>
        <v>#DIV/0!</v>
      </c>
      <c r="U54" s="91"/>
      <c r="V54" s="39"/>
      <c r="W54" s="51"/>
      <c r="X54" s="51"/>
      <c r="Y54" s="39"/>
      <c r="Z54" s="51"/>
      <c r="AA54" s="52"/>
    </row>
    <row r="55" spans="1:27" x14ac:dyDescent="0.2">
      <c r="A55" s="16"/>
      <c r="B55" s="11" t="s">
        <v>59</v>
      </c>
      <c r="C55" s="11">
        <v>43</v>
      </c>
      <c r="D55" s="12">
        <f>Reference!B269</f>
        <v>0</v>
      </c>
      <c r="E55" s="13">
        <f>Reference!C269</f>
        <v>0</v>
      </c>
      <c r="F55" s="13">
        <f>Reference!D269</f>
        <v>0</v>
      </c>
      <c r="G55" s="13">
        <f>Reference!E269</f>
        <v>0</v>
      </c>
      <c r="H55" s="13">
        <f>Reference!F269</f>
        <v>0</v>
      </c>
      <c r="I55" s="13">
        <f>Reference!G269</f>
        <v>0</v>
      </c>
      <c r="J55" s="14">
        <f t="shared" si="2"/>
        <v>0</v>
      </c>
      <c r="L55" s="12">
        <f>Test!B269</f>
        <v>0</v>
      </c>
      <c r="M55" s="13">
        <f>Test!C269</f>
        <v>0</v>
      </c>
      <c r="N55" s="13">
        <f>Test!D269</f>
        <v>0</v>
      </c>
      <c r="O55" s="13">
        <f>Test!E269</f>
        <v>0</v>
      </c>
      <c r="P55" s="13">
        <f>Test!F269</f>
        <v>0</v>
      </c>
      <c r="Q55" s="13">
        <f>Test!G269</f>
        <v>0</v>
      </c>
      <c r="R55" s="14">
        <f t="shared" si="3"/>
        <v>0</v>
      </c>
      <c r="S55" s="17" t="e">
        <f t="shared" si="7"/>
        <v>#DIV/0!</v>
      </c>
      <c r="T55" s="18" t="e">
        <f t="shared" si="7"/>
        <v>#DIV/0!</v>
      </c>
      <c r="U55" s="91"/>
      <c r="V55" s="37" t="e">
        <f>bdrate($D55:$D58,E55:E58,$L55:$L58,M55:M58)</f>
        <v>#VALUE!</v>
      </c>
      <c r="W55" s="42" t="e">
        <f>bdrate($D55:$D58,F55:F58,$L55:$L58,N55:N58)</f>
        <v>#VALUE!</v>
      </c>
      <c r="X55" s="42" t="e">
        <f>bdrate($D55:$D58,G55:G58,$L55:$L58,O55:O58)</f>
        <v>#VALUE!</v>
      </c>
      <c r="Y55" s="40" t="e">
        <f>bdrateOld($D55:$D58,E55:E58,$L55:$L58,M55:M58)</f>
        <v>#VALUE!</v>
      </c>
      <c r="Z55" s="44" t="e">
        <f>bdrateOld($D55:$D58,F55:F58,$L55:$L58,N55:N58)</f>
        <v>#VALUE!</v>
      </c>
      <c r="AA55" s="45" t="e">
        <f>bdrateOld($D55:$D58,G55:G58,$L55:$L58,O55:O58)</f>
        <v>#VALUE!</v>
      </c>
    </row>
    <row r="56" spans="1:27" x14ac:dyDescent="0.2">
      <c r="A56" s="16"/>
      <c r="B56" s="16"/>
      <c r="C56" s="16">
        <v>48</v>
      </c>
      <c r="D56" s="17">
        <f>Reference!B270</f>
        <v>0</v>
      </c>
      <c r="E56" s="18">
        <f>Reference!C270</f>
        <v>0</v>
      </c>
      <c r="F56" s="18">
        <f>Reference!D270</f>
        <v>0</v>
      </c>
      <c r="G56" s="18">
        <f>Reference!E270</f>
        <v>0</v>
      </c>
      <c r="H56" s="18">
        <f>Reference!F270</f>
        <v>0</v>
      </c>
      <c r="I56" s="18">
        <f>Reference!G270</f>
        <v>0</v>
      </c>
      <c r="J56" s="19">
        <f t="shared" si="2"/>
        <v>0</v>
      </c>
      <c r="L56" s="17">
        <f>Test!B270</f>
        <v>0</v>
      </c>
      <c r="M56" s="18">
        <f>Test!C270</f>
        <v>0</v>
      </c>
      <c r="N56" s="18">
        <f>Test!D270</f>
        <v>0</v>
      </c>
      <c r="O56" s="18">
        <f>Test!E270</f>
        <v>0</v>
      </c>
      <c r="P56" s="18">
        <f>Test!F270</f>
        <v>0</v>
      </c>
      <c r="Q56" s="18">
        <f>Test!G270</f>
        <v>0</v>
      </c>
      <c r="R56" s="19">
        <f t="shared" si="3"/>
        <v>0</v>
      </c>
      <c r="S56" s="17" t="e">
        <f t="shared" si="7"/>
        <v>#DIV/0!</v>
      </c>
      <c r="T56" s="18" t="e">
        <f t="shared" si="7"/>
        <v>#DIV/0!</v>
      </c>
      <c r="U56" s="91"/>
      <c r="V56" s="38"/>
      <c r="W56" s="25"/>
      <c r="X56" s="25"/>
      <c r="Y56" s="38"/>
      <c r="Z56" s="25"/>
      <c r="AA56" s="50"/>
    </row>
    <row r="57" spans="1:27" x14ac:dyDescent="0.2">
      <c r="A57" s="16"/>
      <c r="B57" s="16"/>
      <c r="C57" s="16">
        <v>54</v>
      </c>
      <c r="D57" s="17">
        <f>Reference!B271</f>
        <v>0</v>
      </c>
      <c r="E57" s="18">
        <f>Reference!C271</f>
        <v>0</v>
      </c>
      <c r="F57" s="18">
        <f>Reference!D271</f>
        <v>0</v>
      </c>
      <c r="G57" s="18">
        <f>Reference!E271</f>
        <v>0</v>
      </c>
      <c r="H57" s="18">
        <f>Reference!F271</f>
        <v>0</v>
      </c>
      <c r="I57" s="18">
        <f>Reference!G271</f>
        <v>0</v>
      </c>
      <c r="J57" s="19">
        <f t="shared" si="2"/>
        <v>0</v>
      </c>
      <c r="L57" s="17">
        <f>Test!B271</f>
        <v>0</v>
      </c>
      <c r="M57" s="18">
        <f>Test!C271</f>
        <v>0</v>
      </c>
      <c r="N57" s="18">
        <f>Test!D271</f>
        <v>0</v>
      </c>
      <c r="O57" s="18">
        <f>Test!E271</f>
        <v>0</v>
      </c>
      <c r="P57" s="18">
        <f>Test!F271</f>
        <v>0</v>
      </c>
      <c r="Q57" s="18">
        <f>Test!G271</f>
        <v>0</v>
      </c>
      <c r="R57" s="19">
        <f t="shared" si="3"/>
        <v>0</v>
      </c>
      <c r="S57" s="17" t="e">
        <f t="shared" si="7"/>
        <v>#DIV/0!</v>
      </c>
      <c r="T57" s="18" t="e">
        <f t="shared" si="7"/>
        <v>#DIV/0!</v>
      </c>
      <c r="U57" s="91"/>
      <c r="V57" s="38"/>
      <c r="W57" s="25"/>
      <c r="X57" s="25"/>
      <c r="Y57" s="38"/>
      <c r="Z57" s="25"/>
      <c r="AA57" s="50"/>
    </row>
    <row r="58" spans="1:27" ht="12.75" thickBot="1" x14ac:dyDescent="0.25">
      <c r="A58" s="21"/>
      <c r="B58" s="21"/>
      <c r="C58" s="21">
        <v>61</v>
      </c>
      <c r="D58" s="22">
        <f>Reference!B272</f>
        <v>0</v>
      </c>
      <c r="E58" s="23">
        <f>Reference!C272</f>
        <v>0</v>
      </c>
      <c r="F58" s="23">
        <f>Reference!D272</f>
        <v>0</v>
      </c>
      <c r="G58" s="23">
        <f>Reference!E272</f>
        <v>0</v>
      </c>
      <c r="H58" s="23">
        <f>Reference!F272</f>
        <v>0</v>
      </c>
      <c r="I58" s="23">
        <f>Reference!G272</f>
        <v>0</v>
      </c>
      <c r="J58" s="24">
        <f t="shared" si="2"/>
        <v>0</v>
      </c>
      <c r="L58" s="22">
        <f>Test!B272</f>
        <v>0</v>
      </c>
      <c r="M58" s="23">
        <f>Test!C272</f>
        <v>0</v>
      </c>
      <c r="N58" s="23">
        <f>Test!D272</f>
        <v>0</v>
      </c>
      <c r="O58" s="23">
        <f>Test!E272</f>
        <v>0</v>
      </c>
      <c r="P58" s="23">
        <f>Test!F272</f>
        <v>0</v>
      </c>
      <c r="Q58" s="23">
        <f>Test!G272</f>
        <v>0</v>
      </c>
      <c r="R58" s="24">
        <f t="shared" si="3"/>
        <v>0</v>
      </c>
      <c r="S58" s="22" t="e">
        <f t="shared" si="7"/>
        <v>#DIV/0!</v>
      </c>
      <c r="T58" s="23" t="e">
        <f t="shared" si="7"/>
        <v>#DIV/0!</v>
      </c>
      <c r="U58" s="92"/>
      <c r="V58" s="39"/>
      <c r="W58" s="51"/>
      <c r="X58" s="51"/>
      <c r="Y58" s="39"/>
      <c r="Z58" s="51"/>
      <c r="AA58" s="52"/>
    </row>
    <row r="59" spans="1:27" x14ac:dyDescent="0.2">
      <c r="A59" s="16" t="s">
        <v>87</v>
      </c>
      <c r="B59" s="48" t="s">
        <v>83</v>
      </c>
      <c r="C59" s="11">
        <v>27</v>
      </c>
      <c r="D59" s="12">
        <f>Reference!B273</f>
        <v>0</v>
      </c>
      <c r="E59" s="13">
        <f>Reference!C273</f>
        <v>0</v>
      </c>
      <c r="F59" s="13">
        <f>Reference!D273</f>
        <v>0</v>
      </c>
      <c r="G59" s="13">
        <f>Reference!E273</f>
        <v>0</v>
      </c>
      <c r="H59" s="13">
        <f>Reference!F273</f>
        <v>0</v>
      </c>
      <c r="I59" s="13">
        <f>Reference!G273</f>
        <v>0</v>
      </c>
      <c r="J59" s="14">
        <f t="shared" ref="J59:J74" si="8">H59/3600</f>
        <v>0</v>
      </c>
      <c r="L59" s="12">
        <f>Test!B273</f>
        <v>0</v>
      </c>
      <c r="M59" s="13">
        <f>Test!C273</f>
        <v>0</v>
      </c>
      <c r="N59" s="13">
        <f>Test!D273</f>
        <v>0</v>
      </c>
      <c r="O59" s="13">
        <f>Test!E273</f>
        <v>0</v>
      </c>
      <c r="P59" s="13">
        <f>Test!F273</f>
        <v>0</v>
      </c>
      <c r="Q59" s="13">
        <f>Test!G273</f>
        <v>0</v>
      </c>
      <c r="R59" s="14">
        <f t="shared" ref="R59:R74" si="9">P59/3600</f>
        <v>0</v>
      </c>
      <c r="S59" s="12" t="e">
        <f t="shared" si="7"/>
        <v>#DIV/0!</v>
      </c>
      <c r="T59" s="13" t="e">
        <f t="shared" si="7"/>
        <v>#DIV/0!</v>
      </c>
      <c r="U59" s="90"/>
      <c r="V59" s="37" t="e">
        <f>bdrate($D59:$D62,E59:E62,$L59:$L62,M59:M62)</f>
        <v>#VALUE!</v>
      </c>
      <c r="W59" s="42" t="e">
        <f>bdrate($D59:$D62,F59:F62,$L59:$L62,N59:N62)</f>
        <v>#VALUE!</v>
      </c>
      <c r="X59" s="42" t="e">
        <f>bdrate($D59:$D62,G59:G62,$L59:$L62,O59:O62)</f>
        <v>#VALUE!</v>
      </c>
      <c r="Y59" s="40" t="e">
        <f>bdrateOld($D59:$D62,E59:E62,$L59:$L62,M59:M62)</f>
        <v>#VALUE!</v>
      </c>
      <c r="Z59" s="44" t="e">
        <f>bdrateOld($D59:$D62,F59:F62,$L59:$L62,N59:N62)</f>
        <v>#VALUE!</v>
      </c>
      <c r="AA59" s="45" t="e">
        <f>bdrateOld($D59:$D62,G59:G62,$L59:$L62,O59:O62)</f>
        <v>#VALUE!</v>
      </c>
    </row>
    <row r="60" spans="1:27" x14ac:dyDescent="0.2">
      <c r="A60" s="16"/>
      <c r="B60" s="85"/>
      <c r="C60" s="16">
        <v>32</v>
      </c>
      <c r="D60" s="17">
        <f>Reference!B274</f>
        <v>0</v>
      </c>
      <c r="E60" s="18">
        <f>Reference!C274</f>
        <v>0</v>
      </c>
      <c r="F60" s="18">
        <f>Reference!D274</f>
        <v>0</v>
      </c>
      <c r="G60" s="18">
        <f>Reference!E274</f>
        <v>0</v>
      </c>
      <c r="H60" s="18">
        <f>Reference!F274</f>
        <v>0</v>
      </c>
      <c r="I60" s="18">
        <f>Reference!G274</f>
        <v>0</v>
      </c>
      <c r="J60" s="19">
        <f t="shared" si="8"/>
        <v>0</v>
      </c>
      <c r="L60" s="17">
        <f>Test!B274</f>
        <v>0</v>
      </c>
      <c r="M60" s="18">
        <f>Test!C274</f>
        <v>0</v>
      </c>
      <c r="N60" s="18">
        <f>Test!D274</f>
        <v>0</v>
      </c>
      <c r="O60" s="18">
        <f>Test!E274</f>
        <v>0</v>
      </c>
      <c r="P60" s="18">
        <f>Test!F274</f>
        <v>0</v>
      </c>
      <c r="Q60" s="18">
        <f>Test!G274</f>
        <v>0</v>
      </c>
      <c r="R60" s="19">
        <f t="shared" si="9"/>
        <v>0</v>
      </c>
      <c r="S60" s="17" t="e">
        <f t="shared" si="7"/>
        <v>#DIV/0!</v>
      </c>
      <c r="T60" s="18" t="e">
        <f t="shared" si="7"/>
        <v>#DIV/0!</v>
      </c>
      <c r="U60" s="91"/>
      <c r="V60" s="38"/>
      <c r="W60" s="25"/>
      <c r="X60" s="25"/>
      <c r="Y60" s="38"/>
      <c r="Z60" s="25"/>
      <c r="AA60" s="50"/>
    </row>
    <row r="61" spans="1:27" x14ac:dyDescent="0.2">
      <c r="A61" s="16"/>
      <c r="B61" s="85"/>
      <c r="C61" s="16">
        <v>38</v>
      </c>
      <c r="D61" s="17">
        <f>Reference!B275</f>
        <v>0</v>
      </c>
      <c r="E61" s="18">
        <f>Reference!C275</f>
        <v>0</v>
      </c>
      <c r="F61" s="18">
        <f>Reference!D275</f>
        <v>0</v>
      </c>
      <c r="G61" s="18">
        <f>Reference!E275</f>
        <v>0</v>
      </c>
      <c r="H61" s="18">
        <f>Reference!F275</f>
        <v>0</v>
      </c>
      <c r="I61" s="18">
        <f>Reference!G275</f>
        <v>0</v>
      </c>
      <c r="J61" s="19">
        <f t="shared" si="8"/>
        <v>0</v>
      </c>
      <c r="L61" s="17">
        <f>Test!B275</f>
        <v>0</v>
      </c>
      <c r="M61" s="18">
        <f>Test!C275</f>
        <v>0</v>
      </c>
      <c r="N61" s="18">
        <f>Test!D275</f>
        <v>0</v>
      </c>
      <c r="O61" s="18">
        <f>Test!E275</f>
        <v>0</v>
      </c>
      <c r="P61" s="18">
        <f>Test!F275</f>
        <v>0</v>
      </c>
      <c r="Q61" s="18">
        <f>Test!G275</f>
        <v>0</v>
      </c>
      <c r="R61" s="19">
        <f t="shared" si="9"/>
        <v>0</v>
      </c>
      <c r="S61" s="17" t="e">
        <f t="shared" si="7"/>
        <v>#DIV/0!</v>
      </c>
      <c r="T61" s="18" t="e">
        <f t="shared" si="7"/>
        <v>#DIV/0!</v>
      </c>
      <c r="U61" s="91"/>
      <c r="V61" s="38"/>
      <c r="W61" s="25"/>
      <c r="X61" s="25"/>
      <c r="Y61" s="38"/>
      <c r="Z61" s="25"/>
      <c r="AA61" s="50"/>
    </row>
    <row r="62" spans="1:27" ht="12.75" thickBot="1" x14ac:dyDescent="0.25">
      <c r="A62" s="16"/>
      <c r="B62" s="86"/>
      <c r="C62" s="21">
        <v>45</v>
      </c>
      <c r="D62" s="22">
        <f>Reference!B276</f>
        <v>0</v>
      </c>
      <c r="E62" s="23">
        <f>Reference!C276</f>
        <v>0</v>
      </c>
      <c r="F62" s="23">
        <f>Reference!D276</f>
        <v>0</v>
      </c>
      <c r="G62" s="23">
        <f>Reference!E276</f>
        <v>0</v>
      </c>
      <c r="H62" s="23">
        <f>Reference!F276</f>
        <v>0</v>
      </c>
      <c r="I62" s="23">
        <f>Reference!G276</f>
        <v>0</v>
      </c>
      <c r="J62" s="24">
        <f t="shared" si="8"/>
        <v>0</v>
      </c>
      <c r="L62" s="22">
        <f>Test!B276</f>
        <v>0</v>
      </c>
      <c r="M62" s="23">
        <f>Test!C276</f>
        <v>0</v>
      </c>
      <c r="N62" s="23">
        <f>Test!D276</f>
        <v>0</v>
      </c>
      <c r="O62" s="23">
        <f>Test!E276</f>
        <v>0</v>
      </c>
      <c r="P62" s="23">
        <f>Test!F276</f>
        <v>0</v>
      </c>
      <c r="Q62" s="23">
        <f>Test!G276</f>
        <v>0</v>
      </c>
      <c r="R62" s="24">
        <f t="shared" si="9"/>
        <v>0</v>
      </c>
      <c r="S62" s="17" t="e">
        <f t="shared" si="7"/>
        <v>#DIV/0!</v>
      </c>
      <c r="T62" s="18" t="e">
        <f t="shared" si="7"/>
        <v>#DIV/0!</v>
      </c>
      <c r="U62" s="91"/>
      <c r="V62" s="39"/>
      <c r="W62" s="51"/>
      <c r="X62" s="51"/>
      <c r="Y62" s="39"/>
      <c r="Z62" s="51"/>
      <c r="AA62" s="52"/>
    </row>
    <row r="63" spans="1:27" x14ac:dyDescent="0.2">
      <c r="A63" s="16"/>
      <c r="B63" s="48" t="s">
        <v>84</v>
      </c>
      <c r="C63" s="11">
        <v>27</v>
      </c>
      <c r="D63" s="12">
        <f>Reference!B277</f>
        <v>0</v>
      </c>
      <c r="E63" s="13">
        <f>Reference!C277</f>
        <v>0</v>
      </c>
      <c r="F63" s="13">
        <f>Reference!D277</f>
        <v>0</v>
      </c>
      <c r="G63" s="13">
        <f>Reference!E277</f>
        <v>0</v>
      </c>
      <c r="H63" s="13">
        <f>Reference!F277</f>
        <v>0</v>
      </c>
      <c r="I63" s="13">
        <f>Reference!G277</f>
        <v>0</v>
      </c>
      <c r="J63" s="14">
        <f t="shared" si="8"/>
        <v>0</v>
      </c>
      <c r="L63" s="12">
        <f>Test!B277</f>
        <v>0</v>
      </c>
      <c r="M63" s="13">
        <f>Test!C277</f>
        <v>0</v>
      </c>
      <c r="N63" s="13">
        <f>Test!D277</f>
        <v>0</v>
      </c>
      <c r="O63" s="13">
        <f>Test!E277</f>
        <v>0</v>
      </c>
      <c r="P63" s="13">
        <f>Test!F277</f>
        <v>0</v>
      </c>
      <c r="Q63" s="13">
        <f>Test!G277</f>
        <v>0</v>
      </c>
      <c r="R63" s="14">
        <f t="shared" si="9"/>
        <v>0</v>
      </c>
      <c r="S63" s="17" t="e">
        <f t="shared" ref="S63:S74" si="10">P63/H63</f>
        <v>#DIV/0!</v>
      </c>
      <c r="T63" s="18" t="e">
        <f t="shared" ref="T63:T74" si="11">Q63/I63</f>
        <v>#DIV/0!</v>
      </c>
      <c r="U63" s="91"/>
      <c r="V63" s="37" t="e">
        <f>bdrate($D63:$D66,E63:E66,$L63:$L66,M63:M66)</f>
        <v>#VALUE!</v>
      </c>
      <c r="W63" s="42" t="e">
        <f>bdrate($D63:$D66,F63:F66,$L63:$L66,N63:N66)</f>
        <v>#VALUE!</v>
      </c>
      <c r="X63" s="42" t="e">
        <f>bdrate($D63:$D66,G63:G66,$L63:$L66,O63:O66)</f>
        <v>#VALUE!</v>
      </c>
      <c r="Y63" s="40" t="e">
        <f>bdrateOld($D63:$D66,E63:E66,$L63:$L66,M63:M66)</f>
        <v>#VALUE!</v>
      </c>
      <c r="Z63" s="44" t="e">
        <f>bdrateOld($D63:$D66,F63:F66,$L63:$L66,N63:N66)</f>
        <v>#VALUE!</v>
      </c>
      <c r="AA63" s="45" t="e">
        <f>bdrateOld($D63:$D66,G63:G66,$L63:$L66,O63:O66)</f>
        <v>#VALUE!</v>
      </c>
    </row>
    <row r="64" spans="1:27" x14ac:dyDescent="0.2">
      <c r="A64" s="16"/>
      <c r="B64" s="85"/>
      <c r="C64" s="16">
        <v>32</v>
      </c>
      <c r="D64" s="17">
        <f>Reference!B278</f>
        <v>0</v>
      </c>
      <c r="E64" s="18">
        <f>Reference!C278</f>
        <v>0</v>
      </c>
      <c r="F64" s="18">
        <f>Reference!D278</f>
        <v>0</v>
      </c>
      <c r="G64" s="18">
        <f>Reference!E278</f>
        <v>0</v>
      </c>
      <c r="H64" s="18">
        <f>Reference!F278</f>
        <v>0</v>
      </c>
      <c r="I64" s="18">
        <f>Reference!G278</f>
        <v>0</v>
      </c>
      <c r="J64" s="19">
        <f t="shared" si="8"/>
        <v>0</v>
      </c>
      <c r="L64" s="17">
        <f>Test!B278</f>
        <v>0</v>
      </c>
      <c r="M64" s="18">
        <f>Test!C278</f>
        <v>0</v>
      </c>
      <c r="N64" s="18">
        <f>Test!D278</f>
        <v>0</v>
      </c>
      <c r="O64" s="18">
        <f>Test!E278</f>
        <v>0</v>
      </c>
      <c r="P64" s="18">
        <f>Test!F278</f>
        <v>0</v>
      </c>
      <c r="Q64" s="18">
        <f>Test!G278</f>
        <v>0</v>
      </c>
      <c r="R64" s="19">
        <f t="shared" si="9"/>
        <v>0</v>
      </c>
      <c r="S64" s="17" t="e">
        <f t="shared" si="10"/>
        <v>#DIV/0!</v>
      </c>
      <c r="T64" s="18" t="e">
        <f t="shared" si="11"/>
        <v>#DIV/0!</v>
      </c>
      <c r="U64" s="91"/>
      <c r="V64" s="38"/>
      <c r="W64" s="25"/>
      <c r="X64" s="25"/>
      <c r="Y64" s="38"/>
      <c r="Z64" s="25"/>
      <c r="AA64" s="50"/>
    </row>
    <row r="65" spans="1:27" x14ac:dyDescent="0.2">
      <c r="A65" s="16"/>
      <c r="B65" s="85"/>
      <c r="C65" s="16">
        <v>38</v>
      </c>
      <c r="D65" s="17">
        <f>Reference!B279</f>
        <v>0</v>
      </c>
      <c r="E65" s="18">
        <f>Reference!C279</f>
        <v>0</v>
      </c>
      <c r="F65" s="18">
        <f>Reference!D279</f>
        <v>0</v>
      </c>
      <c r="G65" s="18">
        <f>Reference!E279</f>
        <v>0</v>
      </c>
      <c r="H65" s="18">
        <f>Reference!F279</f>
        <v>0</v>
      </c>
      <c r="I65" s="18">
        <f>Reference!G279</f>
        <v>0</v>
      </c>
      <c r="J65" s="19">
        <f t="shared" si="8"/>
        <v>0</v>
      </c>
      <c r="L65" s="17">
        <f>Test!B279</f>
        <v>0</v>
      </c>
      <c r="M65" s="18">
        <f>Test!C279</f>
        <v>0</v>
      </c>
      <c r="N65" s="18">
        <f>Test!D279</f>
        <v>0</v>
      </c>
      <c r="O65" s="18">
        <f>Test!E279</f>
        <v>0</v>
      </c>
      <c r="P65" s="18">
        <f>Test!F279</f>
        <v>0</v>
      </c>
      <c r="Q65" s="18">
        <f>Test!G279</f>
        <v>0</v>
      </c>
      <c r="R65" s="19">
        <f t="shared" si="9"/>
        <v>0</v>
      </c>
      <c r="S65" s="17" t="e">
        <f t="shared" si="10"/>
        <v>#DIV/0!</v>
      </c>
      <c r="T65" s="18" t="e">
        <f t="shared" si="11"/>
        <v>#DIV/0!</v>
      </c>
      <c r="U65" s="91"/>
      <c r="V65" s="38"/>
      <c r="W65" s="25"/>
      <c r="X65" s="25"/>
      <c r="Y65" s="38"/>
      <c r="Z65" s="25"/>
      <c r="AA65" s="50"/>
    </row>
    <row r="66" spans="1:27" ht="12.75" thickBot="1" x14ac:dyDescent="0.25">
      <c r="A66" s="16"/>
      <c r="B66" s="86"/>
      <c r="C66" s="21">
        <v>45</v>
      </c>
      <c r="D66" s="22">
        <f>Reference!B280</f>
        <v>0</v>
      </c>
      <c r="E66" s="23">
        <f>Reference!C280</f>
        <v>0</v>
      </c>
      <c r="F66" s="23">
        <f>Reference!D280</f>
        <v>0</v>
      </c>
      <c r="G66" s="23">
        <f>Reference!E280</f>
        <v>0</v>
      </c>
      <c r="H66" s="23">
        <f>Reference!F280</f>
        <v>0</v>
      </c>
      <c r="I66" s="23">
        <f>Reference!G280</f>
        <v>0</v>
      </c>
      <c r="J66" s="24">
        <f t="shared" si="8"/>
        <v>0</v>
      </c>
      <c r="L66" s="22">
        <f>Test!B280</f>
        <v>0</v>
      </c>
      <c r="M66" s="23">
        <f>Test!C280</f>
        <v>0</v>
      </c>
      <c r="N66" s="23">
        <f>Test!D280</f>
        <v>0</v>
      </c>
      <c r="O66" s="23">
        <f>Test!E280</f>
        <v>0</v>
      </c>
      <c r="P66" s="23">
        <f>Test!F280</f>
        <v>0</v>
      </c>
      <c r="Q66" s="23">
        <f>Test!G280</f>
        <v>0</v>
      </c>
      <c r="R66" s="24">
        <f t="shared" si="9"/>
        <v>0</v>
      </c>
      <c r="S66" s="17" t="e">
        <f t="shared" si="10"/>
        <v>#DIV/0!</v>
      </c>
      <c r="T66" s="18" t="e">
        <f t="shared" si="11"/>
        <v>#DIV/0!</v>
      </c>
      <c r="U66" s="91"/>
      <c r="V66" s="39"/>
      <c r="W66" s="51"/>
      <c r="X66" s="51"/>
      <c r="Y66" s="39"/>
      <c r="Z66" s="51"/>
      <c r="AA66" s="52"/>
    </row>
    <row r="67" spans="1:27" x14ac:dyDescent="0.2">
      <c r="A67" s="16"/>
      <c r="B67" s="48" t="s">
        <v>85</v>
      </c>
      <c r="C67" s="11">
        <v>27</v>
      </c>
      <c r="D67" s="12">
        <f>Reference!B281</f>
        <v>0</v>
      </c>
      <c r="E67" s="13">
        <f>Reference!C281</f>
        <v>0</v>
      </c>
      <c r="F67" s="13">
        <f>Reference!D281</f>
        <v>0</v>
      </c>
      <c r="G67" s="13">
        <f>Reference!E281</f>
        <v>0</v>
      </c>
      <c r="H67" s="13">
        <f>Reference!F281</f>
        <v>0</v>
      </c>
      <c r="I67" s="13">
        <f>Reference!G281</f>
        <v>0</v>
      </c>
      <c r="J67" s="14">
        <f t="shared" si="8"/>
        <v>0</v>
      </c>
      <c r="L67" s="12">
        <f>Test!B281</f>
        <v>0</v>
      </c>
      <c r="M67" s="13">
        <f>Test!C281</f>
        <v>0</v>
      </c>
      <c r="N67" s="13">
        <f>Test!D281</f>
        <v>0</v>
      </c>
      <c r="O67" s="13">
        <f>Test!E281</f>
        <v>0</v>
      </c>
      <c r="P67" s="13">
        <f>Test!F281</f>
        <v>0</v>
      </c>
      <c r="Q67" s="13">
        <f>Test!G281</f>
        <v>0</v>
      </c>
      <c r="R67" s="14">
        <f t="shared" si="9"/>
        <v>0</v>
      </c>
      <c r="S67" s="17" t="e">
        <f t="shared" si="10"/>
        <v>#DIV/0!</v>
      </c>
      <c r="T67" s="18" t="e">
        <f t="shared" si="11"/>
        <v>#DIV/0!</v>
      </c>
      <c r="U67" s="91"/>
      <c r="V67" s="37" t="e">
        <f>bdrate($D67:$D70,E67:E70,$L67:$L70,M67:M70)</f>
        <v>#VALUE!</v>
      </c>
      <c r="W67" s="42" t="e">
        <f>bdrate($D67:$D70,F67:F70,$L67:$L70,N67:N70)</f>
        <v>#VALUE!</v>
      </c>
      <c r="X67" s="42" t="e">
        <f>bdrate($D67:$D70,G67:G70,$L67:$L70,O67:O70)</f>
        <v>#VALUE!</v>
      </c>
      <c r="Y67" s="40" t="e">
        <f>bdrateOld($D67:$D70,E67:E70,$L67:$L70,M67:M70)</f>
        <v>#VALUE!</v>
      </c>
      <c r="Z67" s="44" t="e">
        <f>bdrateOld($D67:$D70,F67:F70,$L67:$L70,N67:N70)</f>
        <v>#VALUE!</v>
      </c>
      <c r="AA67" s="45" t="e">
        <f>bdrateOld($D67:$D70,G67:G70,$L67:$L70,O67:O70)</f>
        <v>#VALUE!</v>
      </c>
    </row>
    <row r="68" spans="1:27" x14ac:dyDescent="0.2">
      <c r="A68" s="16"/>
      <c r="B68" s="85"/>
      <c r="C68" s="16">
        <v>32</v>
      </c>
      <c r="D68" s="17">
        <f>Reference!B282</f>
        <v>0</v>
      </c>
      <c r="E68" s="18">
        <f>Reference!C282</f>
        <v>0</v>
      </c>
      <c r="F68" s="18">
        <f>Reference!D282</f>
        <v>0</v>
      </c>
      <c r="G68" s="18">
        <f>Reference!E282</f>
        <v>0</v>
      </c>
      <c r="H68" s="18">
        <f>Reference!F282</f>
        <v>0</v>
      </c>
      <c r="I68" s="18">
        <f>Reference!G282</f>
        <v>0</v>
      </c>
      <c r="J68" s="19">
        <f t="shared" si="8"/>
        <v>0</v>
      </c>
      <c r="L68" s="17">
        <f>Test!B282</f>
        <v>0</v>
      </c>
      <c r="M68" s="18">
        <f>Test!C282</f>
        <v>0</v>
      </c>
      <c r="N68" s="18">
        <f>Test!D282</f>
        <v>0</v>
      </c>
      <c r="O68" s="18">
        <f>Test!E282</f>
        <v>0</v>
      </c>
      <c r="P68" s="18">
        <f>Test!F282</f>
        <v>0</v>
      </c>
      <c r="Q68" s="18">
        <f>Test!G282</f>
        <v>0</v>
      </c>
      <c r="R68" s="19">
        <f t="shared" si="9"/>
        <v>0</v>
      </c>
      <c r="S68" s="17" t="e">
        <f t="shared" si="10"/>
        <v>#DIV/0!</v>
      </c>
      <c r="T68" s="18" t="e">
        <f t="shared" si="11"/>
        <v>#DIV/0!</v>
      </c>
      <c r="U68" s="91"/>
      <c r="V68" s="38"/>
      <c r="W68" s="25"/>
      <c r="X68" s="25"/>
      <c r="Y68" s="38"/>
      <c r="Z68" s="25"/>
      <c r="AA68" s="50"/>
    </row>
    <row r="69" spans="1:27" x14ac:dyDescent="0.2">
      <c r="A69" s="16"/>
      <c r="B69" s="85"/>
      <c r="C69" s="16">
        <v>38</v>
      </c>
      <c r="D69" s="17">
        <f>Reference!B283</f>
        <v>0</v>
      </c>
      <c r="E69" s="18">
        <f>Reference!C283</f>
        <v>0</v>
      </c>
      <c r="F69" s="18">
        <f>Reference!D283</f>
        <v>0</v>
      </c>
      <c r="G69" s="18">
        <f>Reference!E283</f>
        <v>0</v>
      </c>
      <c r="H69" s="18">
        <f>Reference!F283</f>
        <v>0</v>
      </c>
      <c r="I69" s="18">
        <f>Reference!G283</f>
        <v>0</v>
      </c>
      <c r="J69" s="19">
        <f t="shared" si="8"/>
        <v>0</v>
      </c>
      <c r="L69" s="17">
        <f>Test!B283</f>
        <v>0</v>
      </c>
      <c r="M69" s="18">
        <f>Test!C283</f>
        <v>0</v>
      </c>
      <c r="N69" s="18">
        <f>Test!D283</f>
        <v>0</v>
      </c>
      <c r="O69" s="18">
        <f>Test!E283</f>
        <v>0</v>
      </c>
      <c r="P69" s="18">
        <f>Test!F283</f>
        <v>0</v>
      </c>
      <c r="Q69" s="18">
        <f>Test!G283</f>
        <v>0</v>
      </c>
      <c r="R69" s="19">
        <f t="shared" si="9"/>
        <v>0</v>
      </c>
      <c r="S69" s="17" t="e">
        <f t="shared" si="10"/>
        <v>#DIV/0!</v>
      </c>
      <c r="T69" s="18" t="e">
        <f t="shared" si="11"/>
        <v>#DIV/0!</v>
      </c>
      <c r="U69" s="91"/>
      <c r="V69" s="38"/>
      <c r="W69" s="25"/>
      <c r="X69" s="25"/>
      <c r="Y69" s="38"/>
      <c r="Z69" s="25"/>
      <c r="AA69" s="50"/>
    </row>
    <row r="70" spans="1:27" ht="12.75" thickBot="1" x14ac:dyDescent="0.25">
      <c r="A70" s="16"/>
      <c r="B70" s="86"/>
      <c r="C70" s="21">
        <v>45</v>
      </c>
      <c r="D70" s="22">
        <f>Reference!B284</f>
        <v>0</v>
      </c>
      <c r="E70" s="23">
        <f>Reference!C284</f>
        <v>0</v>
      </c>
      <c r="F70" s="23">
        <f>Reference!D284</f>
        <v>0</v>
      </c>
      <c r="G70" s="23">
        <f>Reference!E284</f>
        <v>0</v>
      </c>
      <c r="H70" s="23">
        <f>Reference!F284</f>
        <v>0</v>
      </c>
      <c r="I70" s="23">
        <f>Reference!G284</f>
        <v>0</v>
      </c>
      <c r="J70" s="24">
        <f t="shared" si="8"/>
        <v>0</v>
      </c>
      <c r="L70" s="22">
        <f>Test!B284</f>
        <v>0</v>
      </c>
      <c r="M70" s="23">
        <f>Test!C284</f>
        <v>0</v>
      </c>
      <c r="N70" s="23">
        <f>Test!D284</f>
        <v>0</v>
      </c>
      <c r="O70" s="23">
        <f>Test!E284</f>
        <v>0</v>
      </c>
      <c r="P70" s="23">
        <f>Test!F284</f>
        <v>0</v>
      </c>
      <c r="Q70" s="23">
        <f>Test!G284</f>
        <v>0</v>
      </c>
      <c r="R70" s="24">
        <f t="shared" si="9"/>
        <v>0</v>
      </c>
      <c r="S70" s="17" t="e">
        <f t="shared" si="10"/>
        <v>#DIV/0!</v>
      </c>
      <c r="T70" s="18" t="e">
        <f t="shared" si="11"/>
        <v>#DIV/0!</v>
      </c>
      <c r="U70" s="91"/>
      <c r="V70" s="39"/>
      <c r="W70" s="51"/>
      <c r="X70" s="51"/>
      <c r="Y70" s="39"/>
      <c r="Z70" s="51"/>
      <c r="AA70" s="52"/>
    </row>
    <row r="71" spans="1:27" x14ac:dyDescent="0.2">
      <c r="A71" s="16"/>
      <c r="B71" s="48" t="s">
        <v>86</v>
      </c>
      <c r="C71" s="11">
        <v>27</v>
      </c>
      <c r="D71" s="12">
        <f>Reference!B285</f>
        <v>0</v>
      </c>
      <c r="E71" s="13">
        <f>Reference!C285</f>
        <v>0</v>
      </c>
      <c r="F71" s="13">
        <f>Reference!D285</f>
        <v>0</v>
      </c>
      <c r="G71" s="13">
        <f>Reference!E285</f>
        <v>0</v>
      </c>
      <c r="H71" s="13">
        <f>Reference!F285</f>
        <v>0</v>
      </c>
      <c r="I71" s="13">
        <f>Reference!G285</f>
        <v>0</v>
      </c>
      <c r="J71" s="14">
        <f t="shared" si="8"/>
        <v>0</v>
      </c>
      <c r="L71" s="12">
        <f>Test!B285</f>
        <v>0</v>
      </c>
      <c r="M71" s="13">
        <f>Test!C285</f>
        <v>0</v>
      </c>
      <c r="N71" s="13">
        <f>Test!D285</f>
        <v>0</v>
      </c>
      <c r="O71" s="13">
        <f>Test!E285</f>
        <v>0</v>
      </c>
      <c r="P71" s="13">
        <f>Test!F285</f>
        <v>0</v>
      </c>
      <c r="Q71" s="13">
        <f>Test!G285</f>
        <v>0</v>
      </c>
      <c r="R71" s="14">
        <f t="shared" si="9"/>
        <v>0</v>
      </c>
      <c r="S71" s="17" t="e">
        <f t="shared" si="10"/>
        <v>#DIV/0!</v>
      </c>
      <c r="T71" s="18" t="e">
        <f t="shared" si="11"/>
        <v>#DIV/0!</v>
      </c>
      <c r="U71" s="91"/>
      <c r="V71" s="37" t="e">
        <f>bdrate($D71:$D74,E71:E74,$L71:$L74,M71:M74)</f>
        <v>#VALUE!</v>
      </c>
      <c r="W71" s="42" t="e">
        <f>bdrate($D71:$D74,F71:F74,$L71:$L74,N71:N74)</f>
        <v>#VALUE!</v>
      </c>
      <c r="X71" s="43" t="e">
        <f>bdrate($D71:$D74,G71:G74,$L71:$L74,O71:O74)</f>
        <v>#VALUE!</v>
      </c>
      <c r="Y71" s="37" t="e">
        <f>bdrateOld($D71:$D74,E71:E74,$L71:$L74,M71:M74)</f>
        <v>#VALUE!</v>
      </c>
      <c r="Z71" s="42" t="e">
        <f>bdrateOld($D71:$D74,F71:F74,$L71:$L74,N71:N74)</f>
        <v>#VALUE!</v>
      </c>
      <c r="AA71" s="43" t="e">
        <f>bdrateOld($D71:$D74,G71:G74,$L71:$L74,O71:O74)</f>
        <v>#VALUE!</v>
      </c>
    </row>
    <row r="72" spans="1:27" x14ac:dyDescent="0.2">
      <c r="A72" s="16"/>
      <c r="B72" s="85"/>
      <c r="C72" s="16">
        <v>32</v>
      </c>
      <c r="D72" s="17">
        <f>Reference!B286</f>
        <v>0</v>
      </c>
      <c r="E72" s="18">
        <f>Reference!C286</f>
        <v>0</v>
      </c>
      <c r="F72" s="18">
        <f>Reference!D286</f>
        <v>0</v>
      </c>
      <c r="G72" s="18">
        <f>Reference!E286</f>
        <v>0</v>
      </c>
      <c r="H72" s="18">
        <f>Reference!F286</f>
        <v>0</v>
      </c>
      <c r="I72" s="18">
        <f>Reference!G286</f>
        <v>0</v>
      </c>
      <c r="J72" s="19">
        <f t="shared" si="8"/>
        <v>0</v>
      </c>
      <c r="L72" s="17">
        <f>Test!B286</f>
        <v>0</v>
      </c>
      <c r="M72" s="18">
        <f>Test!C286</f>
        <v>0</v>
      </c>
      <c r="N72" s="18">
        <f>Test!D286</f>
        <v>0</v>
      </c>
      <c r="O72" s="18">
        <f>Test!E286</f>
        <v>0</v>
      </c>
      <c r="P72" s="18">
        <f>Test!F286</f>
        <v>0</v>
      </c>
      <c r="Q72" s="18">
        <f>Test!G286</f>
        <v>0</v>
      </c>
      <c r="R72" s="19">
        <f t="shared" si="9"/>
        <v>0</v>
      </c>
      <c r="S72" s="17" t="e">
        <f t="shared" si="10"/>
        <v>#DIV/0!</v>
      </c>
      <c r="T72" s="18" t="e">
        <f t="shared" si="11"/>
        <v>#DIV/0!</v>
      </c>
      <c r="U72" s="91"/>
      <c r="V72" s="38"/>
      <c r="W72" s="25"/>
      <c r="X72" s="50"/>
      <c r="Y72" s="38"/>
      <c r="Z72" s="25"/>
      <c r="AA72" s="50"/>
    </row>
    <row r="73" spans="1:27" x14ac:dyDescent="0.2">
      <c r="A73" s="16"/>
      <c r="B73" s="85"/>
      <c r="C73" s="16">
        <v>38</v>
      </c>
      <c r="D73" s="17">
        <f>Reference!B287</f>
        <v>0</v>
      </c>
      <c r="E73" s="18">
        <f>Reference!C287</f>
        <v>0</v>
      </c>
      <c r="F73" s="18">
        <f>Reference!D287</f>
        <v>0</v>
      </c>
      <c r="G73" s="18">
        <f>Reference!E287</f>
        <v>0</v>
      </c>
      <c r="H73" s="18">
        <f>Reference!F287</f>
        <v>0</v>
      </c>
      <c r="I73" s="18">
        <f>Reference!G287</f>
        <v>0</v>
      </c>
      <c r="J73" s="19">
        <f t="shared" si="8"/>
        <v>0</v>
      </c>
      <c r="L73" s="17">
        <f>Test!B287</f>
        <v>0</v>
      </c>
      <c r="M73" s="18">
        <f>Test!C287</f>
        <v>0</v>
      </c>
      <c r="N73" s="18">
        <f>Test!D287</f>
        <v>0</v>
      </c>
      <c r="O73" s="18">
        <f>Test!E287</f>
        <v>0</v>
      </c>
      <c r="P73" s="18">
        <f>Test!F287</f>
        <v>0</v>
      </c>
      <c r="Q73" s="18">
        <f>Test!G287</f>
        <v>0</v>
      </c>
      <c r="R73" s="19">
        <f t="shared" si="9"/>
        <v>0</v>
      </c>
      <c r="S73" s="17" t="e">
        <f t="shared" si="10"/>
        <v>#DIV/0!</v>
      </c>
      <c r="T73" s="18" t="e">
        <f t="shared" si="11"/>
        <v>#DIV/0!</v>
      </c>
      <c r="U73" s="91"/>
      <c r="V73" s="38"/>
      <c r="W73" s="25"/>
      <c r="X73" s="50"/>
      <c r="Y73" s="38"/>
      <c r="Z73" s="25"/>
      <c r="AA73" s="50"/>
    </row>
    <row r="74" spans="1:27" ht="12.75" thickBot="1" x14ac:dyDescent="0.25">
      <c r="A74" s="21"/>
      <c r="B74" s="86"/>
      <c r="C74" s="21">
        <v>45</v>
      </c>
      <c r="D74" s="22">
        <f>Reference!B288</f>
        <v>0</v>
      </c>
      <c r="E74" s="23">
        <f>Reference!C288</f>
        <v>0</v>
      </c>
      <c r="F74" s="23">
        <f>Reference!D288</f>
        <v>0</v>
      </c>
      <c r="G74" s="23">
        <f>Reference!E288</f>
        <v>0</v>
      </c>
      <c r="H74" s="23">
        <f>Reference!F288</f>
        <v>0</v>
      </c>
      <c r="I74" s="23">
        <f>Reference!G288</f>
        <v>0</v>
      </c>
      <c r="J74" s="24">
        <f t="shared" si="8"/>
        <v>0</v>
      </c>
      <c r="L74" s="22">
        <f>Test!B288</f>
        <v>0</v>
      </c>
      <c r="M74" s="23">
        <f>Test!C288</f>
        <v>0</v>
      </c>
      <c r="N74" s="23">
        <f>Test!D288</f>
        <v>0</v>
      </c>
      <c r="O74" s="23">
        <f>Test!E288</f>
        <v>0</v>
      </c>
      <c r="P74" s="23">
        <f>Test!F288</f>
        <v>0</v>
      </c>
      <c r="Q74" s="23">
        <f>Test!G288</f>
        <v>0</v>
      </c>
      <c r="R74" s="24">
        <f t="shared" si="9"/>
        <v>0</v>
      </c>
      <c r="S74" s="22" t="e">
        <f t="shared" si="10"/>
        <v>#DIV/0!</v>
      </c>
      <c r="T74" s="23" t="e">
        <f t="shared" si="11"/>
        <v>#DIV/0!</v>
      </c>
      <c r="U74" s="92"/>
      <c r="V74" s="39"/>
      <c r="W74" s="51"/>
      <c r="X74" s="52"/>
      <c r="Y74" s="39"/>
      <c r="Z74" s="51"/>
      <c r="AA74" s="52"/>
    </row>
    <row r="75" spans="1:27" x14ac:dyDescent="0.2">
      <c r="B75" s="89" t="s">
        <v>46</v>
      </c>
      <c r="I75" s="15" t="e">
        <f>GEOMEAN(I3:I18)</f>
        <v>#NUM!</v>
      </c>
      <c r="J75" s="15" t="e">
        <f>GEOMEAN(J3:J18)</f>
        <v>#NUM!</v>
      </c>
      <c r="Q75" s="15" t="e">
        <f>GEOMEAN(Q3:Q18)</f>
        <v>#NUM!</v>
      </c>
      <c r="R75" s="15" t="e">
        <f>GEOMEAN(R3:R18)</f>
        <v>#NUM!</v>
      </c>
      <c r="S75" s="15" t="e">
        <f>GEOMEAN(S3:S18)</f>
        <v>#DIV/0!</v>
      </c>
      <c r="T75" s="15" t="e">
        <f>GEOMEAN(T3:T18)</f>
        <v>#DIV/0!</v>
      </c>
      <c r="V75" s="37" t="e">
        <f>AVERAGE(V3:V18)</f>
        <v>#VALUE!</v>
      </c>
      <c r="W75" s="42" t="e">
        <f t="shared" ref="W75:AA75" si="12">AVERAGE(W3:W18)</f>
        <v>#VALUE!</v>
      </c>
      <c r="X75" s="42" t="e">
        <f t="shared" si="12"/>
        <v>#VALUE!</v>
      </c>
      <c r="Y75" s="37" t="e">
        <f>AVERAGE(Y3:Y18)</f>
        <v>#VALUE!</v>
      </c>
      <c r="Z75" s="42" t="e">
        <f t="shared" si="12"/>
        <v>#VALUE!</v>
      </c>
      <c r="AA75" s="43" t="e">
        <f t="shared" si="12"/>
        <v>#VALUE!</v>
      </c>
    </row>
    <row r="76" spans="1:27" x14ac:dyDescent="0.2">
      <c r="B76" s="89" t="s">
        <v>47</v>
      </c>
      <c r="I76" s="15" t="e">
        <f>GEOMEAN(I19:I34)</f>
        <v>#NUM!</v>
      </c>
      <c r="J76" s="15" t="e">
        <f>GEOMEAN(J19:J34)</f>
        <v>#NUM!</v>
      </c>
      <c r="Q76" s="15" t="e">
        <f>GEOMEAN(Q19:Q34)</f>
        <v>#NUM!</v>
      </c>
      <c r="R76" s="15" t="e">
        <f>GEOMEAN(R19:R34)</f>
        <v>#NUM!</v>
      </c>
      <c r="S76" s="15" t="e">
        <f>GEOMEAN(S19:S34)</f>
        <v>#DIV/0!</v>
      </c>
      <c r="T76" s="15" t="e">
        <f>GEOMEAN(T19:T34)</f>
        <v>#DIV/0!</v>
      </c>
      <c r="V76" s="40" t="e">
        <f>AVERAGE(V19:V34)</f>
        <v>#VALUE!</v>
      </c>
      <c r="W76" s="44" t="e">
        <f t="shared" ref="W76:AA76" si="13">AVERAGE(W19:W34)</f>
        <v>#VALUE!</v>
      </c>
      <c r="X76" s="44" t="e">
        <f t="shared" si="13"/>
        <v>#VALUE!</v>
      </c>
      <c r="Y76" s="40" t="e">
        <f t="shared" si="13"/>
        <v>#VALUE!</v>
      </c>
      <c r="Z76" s="44" t="e">
        <f t="shared" si="13"/>
        <v>#VALUE!</v>
      </c>
      <c r="AA76" s="45" t="e">
        <f t="shared" si="13"/>
        <v>#VALUE!</v>
      </c>
    </row>
    <row r="77" spans="1:27" x14ac:dyDescent="0.2">
      <c r="B77" s="89" t="s">
        <v>51</v>
      </c>
      <c r="I77" s="15" t="e">
        <f>GEOMEAN(I35:I50)</f>
        <v>#NUM!</v>
      </c>
      <c r="J77" s="15" t="e">
        <f>GEOMEAN(J35:J50)</f>
        <v>#NUM!</v>
      </c>
      <c r="Q77" s="15" t="e">
        <f>GEOMEAN(Q35:Q50)</f>
        <v>#NUM!</v>
      </c>
      <c r="R77" s="15" t="e">
        <f>GEOMEAN(R35:R50)</f>
        <v>#NUM!</v>
      </c>
      <c r="S77" s="15" t="e">
        <f>GEOMEAN(S35:S50)</f>
        <v>#DIV/0!</v>
      </c>
      <c r="T77" s="15" t="e">
        <f>GEOMEAN(T35:T50)</f>
        <v>#DIV/0!</v>
      </c>
      <c r="V77" s="40" t="e">
        <f>AVERAGE(V35:V50)</f>
        <v>#VALUE!</v>
      </c>
      <c r="W77" s="44" t="e">
        <f t="shared" ref="W77:AA77" si="14">AVERAGE(W35:W50)</f>
        <v>#VALUE!</v>
      </c>
      <c r="X77" s="44" t="e">
        <f t="shared" si="14"/>
        <v>#VALUE!</v>
      </c>
      <c r="Y77" s="40" t="e">
        <f t="shared" si="14"/>
        <v>#VALUE!</v>
      </c>
      <c r="Z77" s="44" t="e">
        <f t="shared" si="14"/>
        <v>#VALUE!</v>
      </c>
      <c r="AA77" s="45" t="e">
        <f t="shared" si="14"/>
        <v>#VALUE!</v>
      </c>
    </row>
    <row r="78" spans="1:27" x14ac:dyDescent="0.2">
      <c r="B78" s="89" t="s">
        <v>57</v>
      </c>
      <c r="I78" s="15" t="e">
        <f>GEOMEAN(I51:I58)</f>
        <v>#NUM!</v>
      </c>
      <c r="J78" s="15" t="e">
        <f>GEOMEAN(J51:J58)</f>
        <v>#NUM!</v>
      </c>
      <c r="Q78" s="15" t="e">
        <f>GEOMEAN(Q51:Q58)</f>
        <v>#NUM!</v>
      </c>
      <c r="R78" s="15" t="e">
        <f>GEOMEAN(R51:R58)</f>
        <v>#NUM!</v>
      </c>
      <c r="S78" s="15" t="e">
        <f>GEOMEAN(S51:S58)</f>
        <v>#DIV/0!</v>
      </c>
      <c r="T78" s="15" t="e">
        <f>GEOMEAN(T51:T58)</f>
        <v>#DIV/0!</v>
      </c>
      <c r="V78" s="40" t="e">
        <f>AVERAGE(V51:V58)</f>
        <v>#VALUE!</v>
      </c>
      <c r="W78" s="44" t="e">
        <f t="shared" ref="W78:AA78" si="15">AVERAGE(W51:W58)</f>
        <v>#VALUE!</v>
      </c>
      <c r="X78" s="44" t="e">
        <f t="shared" si="15"/>
        <v>#VALUE!</v>
      </c>
      <c r="Y78" s="40" t="e">
        <f t="shared" si="15"/>
        <v>#VALUE!</v>
      </c>
      <c r="Z78" s="44" t="e">
        <f t="shared" si="15"/>
        <v>#VALUE!</v>
      </c>
      <c r="AA78" s="45" t="e">
        <f t="shared" si="15"/>
        <v>#VALUE!</v>
      </c>
    </row>
    <row r="79" spans="1:27" ht="12.75" thickBot="1" x14ac:dyDescent="0.25">
      <c r="B79" s="1" t="s">
        <v>88</v>
      </c>
      <c r="I79" s="15" t="e">
        <f>GEOMEAN(I59:I74)</f>
        <v>#NUM!</v>
      </c>
      <c r="J79" s="15" t="e">
        <f>GEOMEAN(J59:J74)</f>
        <v>#NUM!</v>
      </c>
      <c r="Q79" s="15" t="e">
        <f>GEOMEAN(Q59:Q74)</f>
        <v>#NUM!</v>
      </c>
      <c r="R79" s="15" t="e">
        <f>GEOMEAN(R59:R74)</f>
        <v>#NUM!</v>
      </c>
      <c r="S79" s="15" t="e">
        <f t="shared" ref="S79:T79" si="16">GEOMEAN(S59:S74)</f>
        <v>#DIV/0!</v>
      </c>
      <c r="T79" s="15" t="e">
        <f t="shared" si="16"/>
        <v>#DIV/0!</v>
      </c>
      <c r="V79" s="40" t="e">
        <f>AVERAGE(V59:V74)</f>
        <v>#VALUE!</v>
      </c>
      <c r="W79" s="44" t="e">
        <f t="shared" ref="W79:AA79" si="17">AVERAGE(W59:W74)</f>
        <v>#VALUE!</v>
      </c>
      <c r="X79" s="44" t="e">
        <f t="shared" si="17"/>
        <v>#VALUE!</v>
      </c>
      <c r="Y79" s="40" t="e">
        <f t="shared" si="17"/>
        <v>#VALUE!</v>
      </c>
      <c r="Z79" s="44" t="e">
        <f t="shared" si="17"/>
        <v>#VALUE!</v>
      </c>
      <c r="AA79" s="45" t="e">
        <f t="shared" si="17"/>
        <v>#VALUE!</v>
      </c>
    </row>
    <row r="80" spans="1:27" ht="12.75" thickBot="1" x14ac:dyDescent="0.25">
      <c r="A80" s="3"/>
      <c r="B80" s="4" t="s">
        <v>1</v>
      </c>
      <c r="C80" s="4"/>
      <c r="D80" s="4"/>
      <c r="E80" s="4"/>
      <c r="F80" s="4"/>
      <c r="G80" s="4"/>
      <c r="H80" s="4"/>
      <c r="I80" s="54" t="e">
        <f xml:space="preserve"> GEOMEAN(I3:I50)</f>
        <v>#NUM!</v>
      </c>
      <c r="J80" s="54" t="e">
        <f xml:space="preserve"> GEOMEAN(J3:J50)</f>
        <v>#NUM!</v>
      </c>
      <c r="K80" s="4"/>
      <c r="L80" s="4"/>
      <c r="M80" s="4"/>
      <c r="N80" s="4"/>
      <c r="O80" s="4"/>
      <c r="P80" s="4"/>
      <c r="Q80" s="54" t="e">
        <f xml:space="preserve"> GEOMEAN(Q3:Q50)</f>
        <v>#NUM!</v>
      </c>
      <c r="R80" s="54" t="e">
        <f xml:space="preserve"> GEOMEAN(R3:R50)</f>
        <v>#NUM!</v>
      </c>
      <c r="S80" s="54" t="e">
        <f>GEOMEAN(S3:S50)</f>
        <v>#DIV/0!</v>
      </c>
      <c r="T80" s="54" t="e">
        <f>GEOMEAN(T3:T50)</f>
        <v>#DIV/0!</v>
      </c>
      <c r="U80" s="4"/>
      <c r="V80" s="41" t="e">
        <f>AVERAGE(V3:V50)</f>
        <v>#VALUE!</v>
      </c>
      <c r="W80" s="46" t="e">
        <f t="shared" ref="W80:AA80" si="18">AVERAGE(W3:W50)</f>
        <v>#VALUE!</v>
      </c>
      <c r="X80" s="47" t="e">
        <f t="shared" si="18"/>
        <v>#VALUE!</v>
      </c>
      <c r="Y80" s="46" t="e">
        <f t="shared" si="18"/>
        <v>#VALUE!</v>
      </c>
      <c r="Z80" s="46" t="e">
        <f t="shared" si="18"/>
        <v>#VALUE!</v>
      </c>
      <c r="AA80" s="47" t="e">
        <f t="shared" si="18"/>
        <v>#VALUE!</v>
      </c>
    </row>
    <row r="81" spans="2:20" x14ac:dyDescent="0.2">
      <c r="B81" s="1" t="s">
        <v>2</v>
      </c>
      <c r="I81" s="26" t="e">
        <f>GEOMEAN(I3:I58)</f>
        <v>#NUM!</v>
      </c>
      <c r="J81" s="26" t="e">
        <f>GEOMEAN(J3:J58)</f>
        <v>#NUM!</v>
      </c>
      <c r="Q81" s="26" t="e">
        <f>GEOMEAN(Q3:Q58)</f>
        <v>#NUM!</v>
      </c>
      <c r="R81" s="26" t="e">
        <f>GEOMEAN(R3:R58)</f>
        <v>#NUM!</v>
      </c>
      <c r="S81" s="26"/>
      <c r="T81" s="26"/>
    </row>
    <row r="82" spans="2:20" x14ac:dyDescent="0.2">
      <c r="B82" s="1" t="s">
        <v>3</v>
      </c>
      <c r="Q82" s="27" t="e">
        <f>Q81/I81</f>
        <v>#NUM!</v>
      </c>
      <c r="R82" s="27" t="e">
        <f>R81/J81</f>
        <v>#NUM!</v>
      </c>
      <c r="S82" s="27"/>
      <c r="T82" s="27"/>
    </row>
    <row r="83" spans="2:20" x14ac:dyDescent="0.2">
      <c r="B83" s="1" t="s">
        <v>4</v>
      </c>
      <c r="I83" s="26"/>
      <c r="J83" s="26"/>
      <c r="Q83" s="26"/>
      <c r="R83" s="26"/>
      <c r="S83" s="26"/>
      <c r="T83" s="26"/>
    </row>
  </sheetData>
  <mergeCells count="4">
    <mergeCell ref="D1:J1"/>
    <mergeCell ref="L1:R1"/>
    <mergeCell ref="V1:X1"/>
    <mergeCell ref="Y1:AA1"/>
  </mergeCells>
  <phoneticPr fontId="9" type="noConversion"/>
  <conditionalFormatting sqref="Y10:Z10">
    <cfRule type="cellIs" dxfId="183" priority="619" operator="greaterThan">
      <formula>0.03</formula>
    </cfRule>
    <cfRule type="cellIs" dxfId="182" priority="620" stopIfTrue="1" operator="lessThan">
      <formula>-0.03</formula>
    </cfRule>
  </conditionalFormatting>
  <conditionalFormatting sqref="Y6:Z6">
    <cfRule type="cellIs" dxfId="181" priority="621" operator="greaterThan">
      <formula>0.03</formula>
    </cfRule>
    <cfRule type="cellIs" dxfId="180" priority="622" stopIfTrue="1" operator="lessThan">
      <formula>-0.03</formula>
    </cfRule>
  </conditionalFormatting>
  <conditionalFormatting sqref="Y14:Z14">
    <cfRule type="cellIs" dxfId="179" priority="617" operator="greaterThan">
      <formula>0.03</formula>
    </cfRule>
    <cfRule type="cellIs" dxfId="178" priority="618" stopIfTrue="1" operator="lessThan">
      <formula>-0.03</formula>
    </cfRule>
  </conditionalFormatting>
  <conditionalFormatting sqref="Y26:Z26">
    <cfRule type="cellIs" dxfId="177" priority="519" operator="greaterThan">
      <formula>0.03</formula>
    </cfRule>
    <cfRule type="cellIs" dxfId="176" priority="520" stopIfTrue="1" operator="lessThan">
      <formula>-0.03</formula>
    </cfRule>
  </conditionalFormatting>
  <conditionalFormatting sqref="Z35">
    <cfRule type="cellIs" dxfId="175" priority="445" operator="greaterThan">
      <formula>0.03</formula>
    </cfRule>
    <cfRule type="cellIs" dxfId="174" priority="446" stopIfTrue="1" operator="lessThan">
      <formula>-0.03</formula>
    </cfRule>
  </conditionalFormatting>
  <conditionalFormatting sqref="Y31">
    <cfRule type="cellIs" dxfId="173" priority="453" operator="greaterThan">
      <formula>0.03</formula>
    </cfRule>
    <cfRule type="cellIs" dxfId="172" priority="454" stopIfTrue="1" operator="lessThan">
      <formula>-0.03</formula>
    </cfRule>
  </conditionalFormatting>
  <conditionalFormatting sqref="AA27">
    <cfRule type="cellIs" dxfId="171" priority="469" operator="greaterThan">
      <formula>0.03</formula>
    </cfRule>
    <cfRule type="cellIs" dxfId="170" priority="470" stopIfTrue="1" operator="lessThan">
      <formula>-0.03</formula>
    </cfRule>
  </conditionalFormatting>
  <conditionalFormatting sqref="Y30:Z30">
    <cfRule type="cellIs" dxfId="169" priority="467" operator="greaterThan">
      <formula>0.03</formula>
    </cfRule>
    <cfRule type="cellIs" dxfId="168" priority="468" stopIfTrue="1" operator="lessThan">
      <formula>-0.03</formula>
    </cfRule>
  </conditionalFormatting>
  <conditionalFormatting sqref="AA35">
    <cfRule type="cellIs" dxfId="167" priority="443" operator="greaterThan">
      <formula>0.03</formula>
    </cfRule>
    <cfRule type="cellIs" dxfId="166" priority="444" stopIfTrue="1" operator="lessThan">
      <formula>-0.03</formula>
    </cfRule>
  </conditionalFormatting>
  <conditionalFormatting sqref="Y34:Z34">
    <cfRule type="cellIs" dxfId="165" priority="441" operator="greaterThan">
      <formula>0.03</formula>
    </cfRule>
    <cfRule type="cellIs" dxfId="164" priority="442" stopIfTrue="1" operator="lessThan">
      <formula>-0.03</formula>
    </cfRule>
  </conditionalFormatting>
  <conditionalFormatting sqref="Y38:Z38">
    <cfRule type="cellIs" dxfId="163" priority="439" operator="greaterThan">
      <formula>0.03</formula>
    </cfRule>
    <cfRule type="cellIs" dxfId="162" priority="440" stopIfTrue="1" operator="lessThan">
      <formula>-0.03</formula>
    </cfRule>
  </conditionalFormatting>
  <conditionalFormatting sqref="V31:X38">
    <cfRule type="cellIs" dxfId="161" priority="455" operator="greaterThan">
      <formula>0.03</formula>
    </cfRule>
    <cfRule type="cellIs" dxfId="160" priority="456" stopIfTrue="1" operator="lessThan">
      <formula>-0.03</formula>
    </cfRule>
  </conditionalFormatting>
  <conditionalFormatting sqref="Z31">
    <cfRule type="cellIs" dxfId="159" priority="451" operator="greaterThan">
      <formula>0.03</formula>
    </cfRule>
    <cfRule type="cellIs" dxfId="158" priority="452" stopIfTrue="1" operator="lessThan">
      <formula>-0.03</formula>
    </cfRule>
  </conditionalFormatting>
  <conditionalFormatting sqref="AA31">
    <cfRule type="cellIs" dxfId="157" priority="449" operator="greaterThan">
      <formula>0.03</formula>
    </cfRule>
    <cfRule type="cellIs" dxfId="156" priority="450" stopIfTrue="1" operator="lessThan">
      <formula>-0.03</formula>
    </cfRule>
  </conditionalFormatting>
  <conditionalFormatting sqref="Y35">
    <cfRule type="cellIs" dxfId="155" priority="447" operator="greaterThan">
      <formula>0.03</formula>
    </cfRule>
    <cfRule type="cellIs" dxfId="154" priority="448" stopIfTrue="1" operator="lessThan">
      <formula>-0.03</formula>
    </cfRule>
  </conditionalFormatting>
  <conditionalFormatting sqref="V39:X46">
    <cfRule type="cellIs" dxfId="153" priority="417" operator="greaterThan">
      <formula>0.03</formula>
    </cfRule>
    <cfRule type="cellIs" dxfId="152" priority="418" stopIfTrue="1" operator="lessThan">
      <formula>-0.03</formula>
    </cfRule>
  </conditionalFormatting>
  <conditionalFormatting sqref="Y39">
    <cfRule type="cellIs" dxfId="151" priority="415" operator="greaterThan">
      <formula>0.03</formula>
    </cfRule>
    <cfRule type="cellIs" dxfId="150" priority="416" stopIfTrue="1" operator="lessThan">
      <formula>-0.03</formula>
    </cfRule>
  </conditionalFormatting>
  <conditionalFormatting sqref="Z39">
    <cfRule type="cellIs" dxfId="149" priority="413" operator="greaterThan">
      <formula>0.03</formula>
    </cfRule>
    <cfRule type="cellIs" dxfId="148" priority="414" stopIfTrue="1" operator="lessThan">
      <formula>-0.03</formula>
    </cfRule>
  </conditionalFormatting>
  <conditionalFormatting sqref="AA39">
    <cfRule type="cellIs" dxfId="147" priority="411" operator="greaterThan">
      <formula>0.03</formula>
    </cfRule>
    <cfRule type="cellIs" dxfId="146" priority="412" stopIfTrue="1" operator="lessThan">
      <formula>-0.03</formula>
    </cfRule>
  </conditionalFormatting>
  <conditionalFormatting sqref="Y43">
    <cfRule type="cellIs" dxfId="145" priority="409" operator="greaterThan">
      <formula>0.03</formula>
    </cfRule>
    <cfRule type="cellIs" dxfId="144" priority="410" stopIfTrue="1" operator="lessThan">
      <formula>-0.03</formula>
    </cfRule>
  </conditionalFormatting>
  <conditionalFormatting sqref="Z43">
    <cfRule type="cellIs" dxfId="143" priority="407" operator="greaterThan">
      <formula>0.03</formula>
    </cfRule>
    <cfRule type="cellIs" dxfId="142" priority="408" stopIfTrue="1" operator="lessThan">
      <formula>-0.03</formula>
    </cfRule>
  </conditionalFormatting>
  <conditionalFormatting sqref="AA43">
    <cfRule type="cellIs" dxfId="141" priority="405" operator="greaterThan">
      <formula>0.03</formula>
    </cfRule>
    <cfRule type="cellIs" dxfId="140" priority="406" stopIfTrue="1" operator="lessThan">
      <formula>-0.03</formula>
    </cfRule>
  </conditionalFormatting>
  <conditionalFormatting sqref="Y42:Z42">
    <cfRule type="cellIs" dxfId="139" priority="403" operator="greaterThan">
      <formula>0.03</formula>
    </cfRule>
    <cfRule type="cellIs" dxfId="138" priority="404" stopIfTrue="1" operator="lessThan">
      <formula>-0.03</formula>
    </cfRule>
  </conditionalFormatting>
  <conditionalFormatting sqref="Y46:Z46">
    <cfRule type="cellIs" dxfId="137" priority="401" operator="greaterThan">
      <formula>0.03</formula>
    </cfRule>
    <cfRule type="cellIs" dxfId="136" priority="402" stopIfTrue="1" operator="lessThan">
      <formula>-0.03</formula>
    </cfRule>
  </conditionalFormatting>
  <conditionalFormatting sqref="V47:X58">
    <cfRule type="cellIs" dxfId="135" priority="379" operator="greaterThan">
      <formula>0.03</formula>
    </cfRule>
    <cfRule type="cellIs" dxfId="134" priority="380" stopIfTrue="1" operator="lessThan">
      <formula>-0.03</formula>
    </cfRule>
  </conditionalFormatting>
  <conditionalFormatting sqref="Y47">
    <cfRule type="cellIs" dxfId="133" priority="377" operator="greaterThan">
      <formula>0.03</formula>
    </cfRule>
    <cfRule type="cellIs" dxfId="132" priority="378" stopIfTrue="1" operator="lessThan">
      <formula>-0.03</formula>
    </cfRule>
  </conditionalFormatting>
  <conditionalFormatting sqref="Z47">
    <cfRule type="cellIs" dxfId="131" priority="375" operator="greaterThan">
      <formula>0.03</formula>
    </cfRule>
    <cfRule type="cellIs" dxfId="130" priority="376" stopIfTrue="1" operator="lessThan">
      <formula>-0.03</formula>
    </cfRule>
  </conditionalFormatting>
  <conditionalFormatting sqref="AA47">
    <cfRule type="cellIs" dxfId="129" priority="373" operator="greaterThan">
      <formula>0.03</formula>
    </cfRule>
    <cfRule type="cellIs" dxfId="128" priority="374" stopIfTrue="1" operator="lessThan">
      <formula>-0.03</formula>
    </cfRule>
  </conditionalFormatting>
  <conditionalFormatting sqref="Y51">
    <cfRule type="cellIs" dxfId="127" priority="371" operator="greaterThan">
      <formula>0.03</formula>
    </cfRule>
    <cfRule type="cellIs" dxfId="126" priority="372" stopIfTrue="1" operator="lessThan">
      <formula>-0.03</formula>
    </cfRule>
  </conditionalFormatting>
  <conditionalFormatting sqref="Z51">
    <cfRule type="cellIs" dxfId="125" priority="369" operator="greaterThan">
      <formula>0.03</formula>
    </cfRule>
    <cfRule type="cellIs" dxfId="124" priority="370" stopIfTrue="1" operator="lessThan">
      <formula>-0.03</formula>
    </cfRule>
  </conditionalFormatting>
  <conditionalFormatting sqref="AA51">
    <cfRule type="cellIs" dxfId="123" priority="367" operator="greaterThan">
      <formula>0.03</formula>
    </cfRule>
    <cfRule type="cellIs" dxfId="122" priority="368" stopIfTrue="1" operator="lessThan">
      <formula>-0.03</formula>
    </cfRule>
  </conditionalFormatting>
  <conditionalFormatting sqref="Y55">
    <cfRule type="cellIs" dxfId="121" priority="365" operator="greaterThan">
      <formula>0.03</formula>
    </cfRule>
    <cfRule type="cellIs" dxfId="120" priority="366" stopIfTrue="1" operator="lessThan">
      <formula>-0.03</formula>
    </cfRule>
  </conditionalFormatting>
  <conditionalFormatting sqref="Z55">
    <cfRule type="cellIs" dxfId="119" priority="363" operator="greaterThan">
      <formula>0.03</formula>
    </cfRule>
    <cfRule type="cellIs" dxfId="118" priority="364" stopIfTrue="1" operator="lessThan">
      <formula>-0.03</formula>
    </cfRule>
  </conditionalFormatting>
  <conditionalFormatting sqref="AA55">
    <cfRule type="cellIs" dxfId="117" priority="361" operator="greaterThan">
      <formula>0.03</formula>
    </cfRule>
    <cfRule type="cellIs" dxfId="116" priority="362" stopIfTrue="1" operator="lessThan">
      <formula>-0.03</formula>
    </cfRule>
  </conditionalFormatting>
  <conditionalFormatting sqref="Y50:Z50">
    <cfRule type="cellIs" dxfId="115" priority="353" operator="greaterThan">
      <formula>0.03</formula>
    </cfRule>
    <cfRule type="cellIs" dxfId="114" priority="354" stopIfTrue="1" operator="lessThan">
      <formula>-0.03</formula>
    </cfRule>
  </conditionalFormatting>
  <conditionalFormatting sqref="Y54:Z54">
    <cfRule type="cellIs" dxfId="113" priority="351" operator="greaterThan">
      <formula>0.03</formula>
    </cfRule>
    <cfRule type="cellIs" dxfId="112" priority="352" stopIfTrue="1" operator="lessThan">
      <formula>-0.03</formula>
    </cfRule>
  </conditionalFormatting>
  <conditionalFormatting sqref="Y58:Z58">
    <cfRule type="cellIs" dxfId="111" priority="349" operator="greaterThan">
      <formula>0.03</formula>
    </cfRule>
    <cfRule type="cellIs" dxfId="110" priority="350" stopIfTrue="1" operator="lessThan">
      <formula>-0.03</formula>
    </cfRule>
  </conditionalFormatting>
  <conditionalFormatting sqref="V4:X6 V12:X14 V8:X10">
    <cfRule type="cellIs" dxfId="109" priority="647" operator="greaterThan">
      <formula>0.03</formula>
    </cfRule>
    <cfRule type="cellIs" dxfId="108" priority="648" stopIfTrue="1" operator="lessThan">
      <formula>-0.03</formula>
    </cfRule>
  </conditionalFormatting>
  <conditionalFormatting sqref="V16:X18 V24:X26 V20:X22">
    <cfRule type="cellIs" dxfId="107" priority="549" operator="greaterThan">
      <formula>0.03</formula>
    </cfRule>
    <cfRule type="cellIs" dxfId="106" priority="550" stopIfTrue="1" operator="lessThan">
      <formula>-0.03</formula>
    </cfRule>
  </conditionalFormatting>
  <conditionalFormatting sqref="Y18:Z18">
    <cfRule type="cellIs" dxfId="105" priority="523" operator="greaterThan">
      <formula>0.03</formula>
    </cfRule>
    <cfRule type="cellIs" dxfId="104" priority="524" stopIfTrue="1" operator="lessThan">
      <formula>-0.03</formula>
    </cfRule>
  </conditionalFormatting>
  <conditionalFormatting sqref="Y22:Z22">
    <cfRule type="cellIs" dxfId="103" priority="521" operator="greaterThan">
      <formula>0.03</formula>
    </cfRule>
    <cfRule type="cellIs" dxfId="102" priority="522" stopIfTrue="1" operator="lessThan">
      <formula>-0.03</formula>
    </cfRule>
  </conditionalFormatting>
  <conditionalFormatting sqref="V27:X30">
    <cfRule type="cellIs" dxfId="101" priority="475" operator="greaterThan">
      <formula>0.03</formula>
    </cfRule>
    <cfRule type="cellIs" dxfId="100" priority="476" stopIfTrue="1" operator="lessThan">
      <formula>-0.03</formula>
    </cfRule>
  </conditionalFormatting>
  <conditionalFormatting sqref="Y27">
    <cfRule type="cellIs" dxfId="99" priority="473" operator="greaterThan">
      <formula>0.03</formula>
    </cfRule>
    <cfRule type="cellIs" dxfId="98" priority="474" stopIfTrue="1" operator="lessThan">
      <formula>-0.03</formula>
    </cfRule>
  </conditionalFormatting>
  <conditionalFormatting sqref="Z27">
    <cfRule type="cellIs" dxfId="97" priority="471" operator="greaterThan">
      <formula>0.03</formula>
    </cfRule>
    <cfRule type="cellIs" dxfId="96" priority="472" stopIfTrue="1" operator="lessThan">
      <formula>-0.03</formula>
    </cfRule>
  </conditionalFormatting>
  <conditionalFormatting sqref="Y23">
    <cfRule type="cellIs" dxfId="95" priority="87" operator="greaterThan">
      <formula>0.03</formula>
    </cfRule>
    <cfRule type="cellIs" dxfId="94" priority="88" stopIfTrue="1" operator="lessThan">
      <formula>-0.03</formula>
    </cfRule>
  </conditionalFormatting>
  <conditionalFormatting sqref="V19:X19">
    <cfRule type="cellIs" dxfId="93" priority="81" operator="greaterThan">
      <formula>0.03</formula>
    </cfRule>
    <cfRule type="cellIs" dxfId="92" priority="82" stopIfTrue="1" operator="lessThan">
      <formula>-0.03</formula>
    </cfRule>
  </conditionalFormatting>
  <conditionalFormatting sqref="V23:X23">
    <cfRule type="cellIs" dxfId="91" priority="89" operator="greaterThan">
      <formula>0.03</formula>
    </cfRule>
    <cfRule type="cellIs" dxfId="90" priority="90" stopIfTrue="1" operator="lessThan">
      <formula>-0.03</formula>
    </cfRule>
  </conditionalFormatting>
  <conditionalFormatting sqref="V80:AA80">
    <cfRule type="cellIs" dxfId="89" priority="91" operator="greaterThan">
      <formula>0.03</formula>
    </cfRule>
    <cfRule type="cellIs" dxfId="88" priority="92" stopIfTrue="1" operator="lessThan">
      <formula>-0.03</formula>
    </cfRule>
  </conditionalFormatting>
  <conditionalFormatting sqref="AA23">
    <cfRule type="cellIs" dxfId="87" priority="83" operator="greaterThan">
      <formula>0.03</formula>
    </cfRule>
    <cfRule type="cellIs" dxfId="86" priority="84" stopIfTrue="1" operator="lessThan">
      <formula>-0.03</formula>
    </cfRule>
  </conditionalFormatting>
  <conditionalFormatting sqref="Y19">
    <cfRule type="cellIs" dxfId="85" priority="79" operator="greaterThan">
      <formula>0.03</formula>
    </cfRule>
    <cfRule type="cellIs" dxfId="84" priority="80" stopIfTrue="1" operator="lessThan">
      <formula>-0.03</formula>
    </cfRule>
  </conditionalFormatting>
  <conditionalFormatting sqref="Z19">
    <cfRule type="cellIs" dxfId="83" priority="77" operator="greaterThan">
      <formula>0.03</formula>
    </cfRule>
    <cfRule type="cellIs" dxfId="82" priority="78" stopIfTrue="1" operator="lessThan">
      <formula>-0.03</formula>
    </cfRule>
  </conditionalFormatting>
  <conditionalFormatting sqref="AA19">
    <cfRule type="cellIs" dxfId="81" priority="75" operator="greaterThan">
      <formula>0.03</formula>
    </cfRule>
    <cfRule type="cellIs" dxfId="80" priority="76" stopIfTrue="1" operator="lessThan">
      <formula>-0.03</formula>
    </cfRule>
  </conditionalFormatting>
  <conditionalFormatting sqref="V75:X78">
    <cfRule type="cellIs" dxfId="79" priority="95" operator="greaterThan">
      <formula>0.03</formula>
    </cfRule>
    <cfRule type="cellIs" dxfId="78" priority="96" stopIfTrue="1" operator="lessThan">
      <formula>-0.03</formula>
    </cfRule>
  </conditionalFormatting>
  <conditionalFormatting sqref="Y75:AA78">
    <cfRule type="cellIs" dxfId="77" priority="93" operator="greaterThan">
      <formula>0.03</formula>
    </cfRule>
    <cfRule type="cellIs" dxfId="76" priority="94" stopIfTrue="1" operator="lessThan">
      <formula>-0.03</formula>
    </cfRule>
  </conditionalFormatting>
  <conditionalFormatting sqref="Z23">
    <cfRule type="cellIs" dxfId="75" priority="85" operator="greaterThan">
      <formula>0.03</formula>
    </cfRule>
    <cfRule type="cellIs" dxfId="74" priority="86" stopIfTrue="1" operator="lessThan">
      <formula>-0.03</formula>
    </cfRule>
  </conditionalFormatting>
  <conditionalFormatting sqref="V15:X15">
    <cfRule type="cellIs" dxfId="73" priority="73" operator="greaterThan">
      <formula>0.03</formula>
    </cfRule>
    <cfRule type="cellIs" dxfId="72" priority="74" stopIfTrue="1" operator="lessThan">
      <formula>-0.03</formula>
    </cfRule>
  </conditionalFormatting>
  <conditionalFormatting sqref="AA3">
    <cfRule type="cellIs" dxfId="71" priority="43" operator="greaterThan">
      <formula>0.03</formula>
    </cfRule>
    <cfRule type="cellIs" dxfId="70" priority="44" stopIfTrue="1" operator="lessThan">
      <formula>-0.03</formula>
    </cfRule>
  </conditionalFormatting>
  <conditionalFormatting sqref="Y3">
    <cfRule type="cellIs" dxfId="69" priority="47" operator="greaterThan">
      <formula>0.03</formula>
    </cfRule>
    <cfRule type="cellIs" dxfId="68" priority="48" stopIfTrue="1" operator="lessThan">
      <formula>-0.03</formula>
    </cfRule>
  </conditionalFormatting>
  <conditionalFormatting sqref="Z3">
    <cfRule type="cellIs" dxfId="67" priority="45" operator="greaterThan">
      <formula>0.03</formula>
    </cfRule>
    <cfRule type="cellIs" dxfId="66" priority="46" stopIfTrue="1" operator="lessThan">
      <formula>-0.03</formula>
    </cfRule>
  </conditionalFormatting>
  <conditionalFormatting sqref="AA15">
    <cfRule type="cellIs" dxfId="65" priority="67" operator="greaterThan">
      <formula>0.03</formula>
    </cfRule>
    <cfRule type="cellIs" dxfId="64" priority="68" stopIfTrue="1" operator="lessThan">
      <formula>-0.03</formula>
    </cfRule>
  </conditionalFormatting>
  <conditionalFormatting sqref="Y15">
    <cfRule type="cellIs" dxfId="63" priority="71" operator="greaterThan">
      <formula>0.03</formula>
    </cfRule>
    <cfRule type="cellIs" dxfId="62" priority="72" stopIfTrue="1" operator="lessThan">
      <formula>-0.03</formula>
    </cfRule>
  </conditionalFormatting>
  <conditionalFormatting sqref="Z15">
    <cfRule type="cellIs" dxfId="61" priority="69" operator="greaterThan">
      <formula>0.03</formula>
    </cfRule>
    <cfRule type="cellIs" dxfId="60" priority="70" stopIfTrue="1" operator="lessThan">
      <formula>-0.03</formula>
    </cfRule>
  </conditionalFormatting>
  <conditionalFormatting sqref="AA11">
    <cfRule type="cellIs" dxfId="59" priority="59" operator="greaterThan">
      <formula>0.03</formula>
    </cfRule>
    <cfRule type="cellIs" dxfId="58" priority="60" stopIfTrue="1" operator="lessThan">
      <formula>-0.03</formula>
    </cfRule>
  </conditionalFormatting>
  <conditionalFormatting sqref="V11:X11">
    <cfRule type="cellIs" dxfId="57" priority="65" operator="greaterThan">
      <formula>0.03</formula>
    </cfRule>
    <cfRule type="cellIs" dxfId="56" priority="66" stopIfTrue="1" operator="lessThan">
      <formula>-0.03</formula>
    </cfRule>
  </conditionalFormatting>
  <conditionalFormatting sqref="Y11">
    <cfRule type="cellIs" dxfId="55" priority="63" operator="greaterThan">
      <formula>0.03</formula>
    </cfRule>
    <cfRule type="cellIs" dxfId="54" priority="64" stopIfTrue="1" operator="lessThan">
      <formula>-0.03</formula>
    </cfRule>
  </conditionalFormatting>
  <conditionalFormatting sqref="Z11">
    <cfRule type="cellIs" dxfId="53" priority="61" operator="greaterThan">
      <formula>0.03</formula>
    </cfRule>
    <cfRule type="cellIs" dxfId="52" priority="62" stopIfTrue="1" operator="lessThan">
      <formula>-0.03</formula>
    </cfRule>
  </conditionalFormatting>
  <conditionalFormatting sqref="AA7">
    <cfRule type="cellIs" dxfId="51" priority="51" operator="greaterThan">
      <formula>0.03</formula>
    </cfRule>
    <cfRule type="cellIs" dxfId="50" priority="52" stopIfTrue="1" operator="lessThan">
      <formula>-0.03</formula>
    </cfRule>
  </conditionalFormatting>
  <conditionalFormatting sqref="V7:X7">
    <cfRule type="cellIs" dxfId="49" priority="57" operator="greaterThan">
      <formula>0.03</formula>
    </cfRule>
    <cfRule type="cellIs" dxfId="48" priority="58" stopIfTrue="1" operator="lessThan">
      <formula>-0.03</formula>
    </cfRule>
  </conditionalFormatting>
  <conditionalFormatting sqref="Y7">
    <cfRule type="cellIs" dxfId="47" priority="55" operator="greaterThan">
      <formula>0.03</formula>
    </cfRule>
    <cfRule type="cellIs" dxfId="46" priority="56" stopIfTrue="1" operator="lessThan">
      <formula>-0.03</formula>
    </cfRule>
  </conditionalFormatting>
  <conditionalFormatting sqref="Z7">
    <cfRule type="cellIs" dxfId="45" priority="53" operator="greaterThan">
      <formula>0.03</formula>
    </cfRule>
    <cfRule type="cellIs" dxfId="44" priority="54" stopIfTrue="1" operator="lessThan">
      <formula>-0.03</formula>
    </cfRule>
  </conditionalFormatting>
  <conditionalFormatting sqref="V3:X3">
    <cfRule type="cellIs" dxfId="43" priority="49" operator="greaterThan">
      <formula>0.03</formula>
    </cfRule>
    <cfRule type="cellIs" dxfId="42" priority="50" stopIfTrue="1" operator="lessThan">
      <formula>-0.03</formula>
    </cfRule>
  </conditionalFormatting>
  <conditionalFormatting sqref="Z59">
    <cfRule type="cellIs" dxfId="41" priority="37" operator="greaterThan">
      <formula>0.03</formula>
    </cfRule>
    <cfRule type="cellIs" dxfId="40" priority="38" stopIfTrue="1" operator="lessThan">
      <formula>-0.03</formula>
    </cfRule>
  </conditionalFormatting>
  <conditionalFormatting sqref="AA59">
    <cfRule type="cellIs" dxfId="39" priority="35" operator="greaterThan">
      <formula>0.03</formula>
    </cfRule>
    <cfRule type="cellIs" dxfId="38" priority="36" stopIfTrue="1" operator="lessThan">
      <formula>-0.03</formula>
    </cfRule>
  </conditionalFormatting>
  <conditionalFormatting sqref="Y62:Z62">
    <cfRule type="cellIs" dxfId="37" priority="33" operator="greaterThan">
      <formula>0.03</formula>
    </cfRule>
    <cfRule type="cellIs" dxfId="36" priority="34" stopIfTrue="1" operator="lessThan">
      <formula>-0.03</formula>
    </cfRule>
  </conditionalFormatting>
  <conditionalFormatting sqref="V59:X62">
    <cfRule type="cellIs" dxfId="35" priority="41" operator="greaterThan">
      <formula>0.03</formula>
    </cfRule>
    <cfRule type="cellIs" dxfId="34" priority="42" stopIfTrue="1" operator="lessThan">
      <formula>-0.03</formula>
    </cfRule>
  </conditionalFormatting>
  <conditionalFormatting sqref="Y59">
    <cfRule type="cellIs" dxfId="33" priority="39" operator="greaterThan">
      <formula>0.03</formula>
    </cfRule>
    <cfRule type="cellIs" dxfId="32" priority="40" stopIfTrue="1" operator="lessThan">
      <formula>-0.03</formula>
    </cfRule>
  </conditionalFormatting>
  <conditionalFormatting sqref="V63:X70">
    <cfRule type="cellIs" dxfId="31" priority="31" operator="greaterThan">
      <formula>0.03</formula>
    </cfRule>
    <cfRule type="cellIs" dxfId="30" priority="32" stopIfTrue="1" operator="lessThan">
      <formula>-0.03</formula>
    </cfRule>
  </conditionalFormatting>
  <conditionalFormatting sqref="Y63">
    <cfRule type="cellIs" dxfId="29" priority="29" operator="greaterThan">
      <formula>0.03</formula>
    </cfRule>
    <cfRule type="cellIs" dxfId="28" priority="30" stopIfTrue="1" operator="lessThan">
      <formula>-0.03</formula>
    </cfRule>
  </conditionalFormatting>
  <conditionalFormatting sqref="Z63">
    <cfRule type="cellIs" dxfId="27" priority="27" operator="greaterThan">
      <formula>0.03</formula>
    </cfRule>
    <cfRule type="cellIs" dxfId="26" priority="28" stopIfTrue="1" operator="lessThan">
      <formula>-0.03</formula>
    </cfRule>
  </conditionalFormatting>
  <conditionalFormatting sqref="AA63">
    <cfRule type="cellIs" dxfId="25" priority="25" operator="greaterThan">
      <formula>0.03</formula>
    </cfRule>
    <cfRule type="cellIs" dxfId="24" priority="26" stopIfTrue="1" operator="lessThan">
      <formula>-0.03</formula>
    </cfRule>
  </conditionalFormatting>
  <conditionalFormatting sqref="Y67">
    <cfRule type="cellIs" dxfId="23" priority="23" operator="greaterThan">
      <formula>0.03</formula>
    </cfRule>
    <cfRule type="cellIs" dxfId="22" priority="24" stopIfTrue="1" operator="lessThan">
      <formula>-0.03</formula>
    </cfRule>
  </conditionalFormatting>
  <conditionalFormatting sqref="Z67">
    <cfRule type="cellIs" dxfId="21" priority="21" operator="greaterThan">
      <formula>0.03</formula>
    </cfRule>
    <cfRule type="cellIs" dxfId="20" priority="22" stopIfTrue="1" operator="lessThan">
      <formula>-0.03</formula>
    </cfRule>
  </conditionalFormatting>
  <conditionalFormatting sqref="AA67">
    <cfRule type="cellIs" dxfId="19" priority="19" operator="greaterThan">
      <formula>0.03</formula>
    </cfRule>
    <cfRule type="cellIs" dxfId="18" priority="20" stopIfTrue="1" operator="lessThan">
      <formula>-0.03</formula>
    </cfRule>
  </conditionalFormatting>
  <conditionalFormatting sqref="Y66:Z66">
    <cfRule type="cellIs" dxfId="17" priority="17" operator="greaterThan">
      <formula>0.03</formula>
    </cfRule>
    <cfRule type="cellIs" dxfId="16" priority="18" stopIfTrue="1" operator="lessThan">
      <formula>-0.03</formula>
    </cfRule>
  </conditionalFormatting>
  <conditionalFormatting sqref="Y70:Z70">
    <cfRule type="cellIs" dxfId="15" priority="15" operator="greaterThan">
      <formula>0.03</formula>
    </cfRule>
    <cfRule type="cellIs" dxfId="14" priority="16" stopIfTrue="1" operator="lessThan">
      <formula>-0.03</formula>
    </cfRule>
  </conditionalFormatting>
  <conditionalFormatting sqref="V71:X74">
    <cfRule type="cellIs" dxfId="13" priority="13" operator="greaterThan">
      <formula>0.03</formula>
    </cfRule>
    <cfRule type="cellIs" dxfId="12" priority="14" stopIfTrue="1" operator="lessThan">
      <formula>-0.03</formula>
    </cfRule>
  </conditionalFormatting>
  <conditionalFormatting sqref="Y71">
    <cfRule type="cellIs" dxfId="11" priority="11" operator="greaterThan">
      <formula>0.03</formula>
    </cfRule>
    <cfRule type="cellIs" dxfId="10" priority="12" stopIfTrue="1" operator="lessThan">
      <formula>-0.03</formula>
    </cfRule>
  </conditionalFormatting>
  <conditionalFormatting sqref="Z71">
    <cfRule type="cellIs" dxfId="9" priority="9" operator="greaterThan">
      <formula>0.03</formula>
    </cfRule>
    <cfRule type="cellIs" dxfId="8" priority="10" stopIfTrue="1" operator="lessThan">
      <formula>-0.03</formula>
    </cfRule>
  </conditionalFormatting>
  <conditionalFormatting sqref="AA71">
    <cfRule type="cellIs" dxfId="7" priority="7" operator="greaterThan">
      <formula>0.03</formula>
    </cfRule>
    <cfRule type="cellIs" dxfId="6" priority="8" stopIfTrue="1" operator="lessThan">
      <formula>-0.03</formula>
    </cfRule>
  </conditionalFormatting>
  <conditionalFormatting sqref="Y74:Z74">
    <cfRule type="cellIs" dxfId="5" priority="5" operator="greaterThan">
      <formula>0.03</formula>
    </cfRule>
    <cfRule type="cellIs" dxfId="4" priority="6" stopIfTrue="1" operator="lessThan">
      <formula>-0.03</formula>
    </cfRule>
  </conditionalFormatting>
  <conditionalFormatting sqref="V79:X79">
    <cfRule type="cellIs" dxfId="3" priority="3" operator="greaterThan">
      <formula>0.03</formula>
    </cfRule>
    <cfRule type="cellIs" dxfId="2" priority="4" stopIfTrue="1" operator="lessThan">
      <formula>-0.03</formula>
    </cfRule>
  </conditionalFormatting>
  <conditionalFormatting sqref="Y79:AA79">
    <cfRule type="cellIs" dxfId="1" priority="1" operator="greaterThan">
      <formula>0.03</formula>
    </cfRule>
    <cfRule type="cellIs" dxfId="0" priority="2" stopIfTrue="1" operator="lessThan">
      <formula>-0.03</formula>
    </cfRule>
  </conditionalFormatting>
  <pageMargins left="0.75" right="0.75" top="1" bottom="1" header="0.5" footer="0.5"/>
  <pageSetup paperSize="9" orientation="portrait" horizontalDpi="4294967292" verticalDpi="4294967292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G288"/>
  <sheetViews>
    <sheetView topLeftCell="A94" workbookViewId="0">
      <selection activeCell="B1" sqref="B1:G1048576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7" x14ac:dyDescent="0.15">
      <c r="A1" s="141" t="s">
        <v>190</v>
      </c>
      <c r="B1">
        <v>77497.984899999996</v>
      </c>
      <c r="C1">
        <v>40.8005</v>
      </c>
      <c r="D1">
        <v>49.129199999999997</v>
      </c>
      <c r="E1">
        <v>47.6556</v>
      </c>
      <c r="F1">
        <v>89907.726999999999</v>
      </c>
      <c r="G1">
        <v>25.446000000000002</v>
      </c>
    </row>
    <row r="2" spans="1:7" x14ac:dyDescent="0.15">
      <c r="A2" s="141" t="s">
        <v>191</v>
      </c>
      <c r="B2">
        <v>41825.124300000003</v>
      </c>
      <c r="C2">
        <v>40.149900000000002</v>
      </c>
      <c r="D2">
        <v>48.338000000000001</v>
      </c>
      <c r="E2">
        <v>46.536099999999998</v>
      </c>
      <c r="F2">
        <v>49343.309000000001</v>
      </c>
      <c r="G2">
        <v>23.201000000000001</v>
      </c>
    </row>
    <row r="3" spans="1:7" x14ac:dyDescent="0.15">
      <c r="A3" s="141" t="s">
        <v>192</v>
      </c>
      <c r="B3">
        <v>25032.570800000001</v>
      </c>
      <c r="C3">
        <v>39.418100000000003</v>
      </c>
      <c r="D3">
        <v>47.363900000000001</v>
      </c>
      <c r="E3">
        <v>45.252200000000002</v>
      </c>
      <c r="F3">
        <v>30045.103999999999</v>
      </c>
      <c r="G3">
        <v>22.334</v>
      </c>
    </row>
    <row r="4" spans="1:7" x14ac:dyDescent="0.15">
      <c r="A4" s="141" t="s">
        <v>193</v>
      </c>
      <c r="B4">
        <v>14265.6389</v>
      </c>
      <c r="C4">
        <v>38.194800000000001</v>
      </c>
      <c r="D4">
        <v>45.863999999999997</v>
      </c>
      <c r="E4">
        <v>43.448500000000003</v>
      </c>
      <c r="F4">
        <v>16253.178</v>
      </c>
      <c r="G4">
        <v>20.765999999999998</v>
      </c>
    </row>
    <row r="5" spans="1:7" x14ac:dyDescent="0.15">
      <c r="A5" s="141" t="s">
        <v>194</v>
      </c>
      <c r="B5">
        <v>327906.1053</v>
      </c>
      <c r="C5">
        <v>44.643799999999999</v>
      </c>
      <c r="D5">
        <v>38.883200000000002</v>
      </c>
      <c r="E5">
        <v>39.506700000000002</v>
      </c>
      <c r="F5">
        <v>143875.06200000001</v>
      </c>
      <c r="G5">
        <v>39.811</v>
      </c>
    </row>
    <row r="6" spans="1:7" x14ac:dyDescent="0.15">
      <c r="A6" s="141" t="s">
        <v>195</v>
      </c>
      <c r="B6">
        <v>209113.2421</v>
      </c>
      <c r="C6">
        <v>41.878500000000003</v>
      </c>
      <c r="D6">
        <v>36.3035</v>
      </c>
      <c r="E6">
        <v>37.206299999999999</v>
      </c>
      <c r="F6">
        <v>113059.859</v>
      </c>
      <c r="G6">
        <v>34.274000000000001</v>
      </c>
    </row>
    <row r="7" spans="1:7" x14ac:dyDescent="0.15">
      <c r="A7" s="141" t="s">
        <v>196</v>
      </c>
      <c r="B7">
        <v>119373.3368</v>
      </c>
      <c r="C7">
        <v>38.631799999999998</v>
      </c>
      <c r="D7">
        <v>34.012099999999997</v>
      </c>
      <c r="E7">
        <v>35.131900000000002</v>
      </c>
      <c r="F7">
        <v>81175.164000000004</v>
      </c>
      <c r="G7">
        <v>29.57</v>
      </c>
    </row>
    <row r="8" spans="1:7" x14ac:dyDescent="0.15">
      <c r="A8" s="141" t="s">
        <v>197</v>
      </c>
      <c r="B8">
        <v>56000.463199999998</v>
      </c>
      <c r="C8">
        <v>35.179099999999998</v>
      </c>
      <c r="D8">
        <v>31.644600000000001</v>
      </c>
      <c r="E8">
        <v>33.087899999999998</v>
      </c>
      <c r="F8">
        <v>53017.065999999999</v>
      </c>
      <c r="G8">
        <v>24.632999999999999</v>
      </c>
    </row>
    <row r="9" spans="1:7" x14ac:dyDescent="0.15">
      <c r="A9" s="141" t="s">
        <v>198</v>
      </c>
      <c r="B9">
        <v>125646.1958</v>
      </c>
      <c r="C9">
        <v>41.547699999999999</v>
      </c>
      <c r="D9">
        <v>43.826599999999999</v>
      </c>
      <c r="E9">
        <v>42.737299999999998</v>
      </c>
      <c r="F9">
        <v>145508.06200000001</v>
      </c>
      <c r="G9">
        <v>32.652999999999999</v>
      </c>
    </row>
    <row r="10" spans="1:7" x14ac:dyDescent="0.15">
      <c r="A10" s="141" t="s">
        <v>199</v>
      </c>
      <c r="B10">
        <v>56415.568399999996</v>
      </c>
      <c r="C10">
        <v>38.850200000000001</v>
      </c>
      <c r="D10">
        <v>41.226700000000001</v>
      </c>
      <c r="E10">
        <v>41.563899999999997</v>
      </c>
      <c r="F10">
        <v>86335.945000000007</v>
      </c>
      <c r="G10">
        <v>25.387</v>
      </c>
    </row>
    <row r="11" spans="1:7" x14ac:dyDescent="0.15">
      <c r="A11" s="141" t="s">
        <v>200</v>
      </c>
      <c r="B11">
        <v>25617</v>
      </c>
      <c r="C11">
        <v>37.287500000000001</v>
      </c>
      <c r="D11">
        <v>38.915599999999998</v>
      </c>
      <c r="E11">
        <v>40.426299999999998</v>
      </c>
      <c r="F11">
        <v>46443.343999999997</v>
      </c>
      <c r="G11">
        <v>21.992000000000001</v>
      </c>
    </row>
    <row r="12" spans="1:7" x14ac:dyDescent="0.15">
      <c r="A12" s="141" t="s">
        <v>201</v>
      </c>
      <c r="B12">
        <v>12382.5663</v>
      </c>
      <c r="C12">
        <v>35.897799999999997</v>
      </c>
      <c r="D12">
        <v>36.217399999999998</v>
      </c>
      <c r="E12">
        <v>38.920299999999997</v>
      </c>
      <c r="F12">
        <v>25681.773000000001</v>
      </c>
      <c r="G12">
        <v>19.045000000000002</v>
      </c>
    </row>
    <row r="13" spans="1:7" x14ac:dyDescent="0.15">
      <c r="A13" s="141" t="s">
        <v>202</v>
      </c>
      <c r="B13">
        <v>178954.8884</v>
      </c>
      <c r="C13">
        <v>38.600900000000003</v>
      </c>
      <c r="D13">
        <v>45.480400000000003</v>
      </c>
      <c r="E13">
        <v>43.284500000000001</v>
      </c>
      <c r="F13">
        <v>169806.20300000001</v>
      </c>
      <c r="G13">
        <v>32.095999999999997</v>
      </c>
    </row>
    <row r="14" spans="1:7" x14ac:dyDescent="0.15">
      <c r="A14" s="141" t="s">
        <v>203</v>
      </c>
      <c r="B14">
        <v>87394.130499999999</v>
      </c>
      <c r="C14">
        <v>37.662100000000002</v>
      </c>
      <c r="D14">
        <v>44.520600000000002</v>
      </c>
      <c r="E14">
        <v>42.122100000000003</v>
      </c>
      <c r="F14">
        <v>96032.702999999994</v>
      </c>
      <c r="G14">
        <v>27.11</v>
      </c>
    </row>
    <row r="15" spans="1:7" x14ac:dyDescent="0.15">
      <c r="A15" s="141" t="s">
        <v>204</v>
      </c>
      <c r="B15">
        <v>50177.178899999999</v>
      </c>
      <c r="C15">
        <v>36.731000000000002</v>
      </c>
      <c r="D15">
        <v>43.464100000000002</v>
      </c>
      <c r="E15">
        <v>40.902900000000002</v>
      </c>
      <c r="F15">
        <v>57478.773000000001</v>
      </c>
      <c r="G15">
        <v>23.495000000000001</v>
      </c>
    </row>
    <row r="16" spans="1:7" x14ac:dyDescent="0.15">
      <c r="A16" s="141" t="s">
        <v>205</v>
      </c>
      <c r="B16">
        <v>26433.1705</v>
      </c>
      <c r="C16">
        <v>35.2258</v>
      </c>
      <c r="D16">
        <v>42.01</v>
      </c>
      <c r="E16">
        <v>39.510899999999999</v>
      </c>
      <c r="F16">
        <v>33985.370999999999</v>
      </c>
      <c r="G16">
        <v>20.997</v>
      </c>
    </row>
    <row r="17" spans="1:7" x14ac:dyDescent="0.15">
      <c r="A17" s="141" t="s">
        <v>94</v>
      </c>
      <c r="B17">
        <v>68243.104800000001</v>
      </c>
      <c r="C17">
        <v>39.5443</v>
      </c>
      <c r="D17">
        <v>40.376399999999997</v>
      </c>
      <c r="E17">
        <v>43.282200000000003</v>
      </c>
      <c r="F17">
        <v>84921.57</v>
      </c>
      <c r="G17">
        <v>16.600999999999999</v>
      </c>
    </row>
    <row r="18" spans="1:7" x14ac:dyDescent="0.15">
      <c r="A18" s="141" t="s">
        <v>95</v>
      </c>
      <c r="B18">
        <v>40723.352400000003</v>
      </c>
      <c r="C18">
        <v>37.901800000000001</v>
      </c>
      <c r="D18">
        <v>39.331499999999998</v>
      </c>
      <c r="E18">
        <v>41.799199999999999</v>
      </c>
      <c r="F18">
        <v>56751.737999999998</v>
      </c>
      <c r="G18">
        <v>13.68</v>
      </c>
    </row>
    <row r="19" spans="1:7" x14ac:dyDescent="0.15">
      <c r="A19" s="141" t="s">
        <v>96</v>
      </c>
      <c r="B19">
        <v>23427.676200000002</v>
      </c>
      <c r="C19">
        <v>35.976500000000001</v>
      </c>
      <c r="D19">
        <v>38.403700000000001</v>
      </c>
      <c r="E19">
        <v>40.352200000000003</v>
      </c>
      <c r="F19">
        <v>37686.805</v>
      </c>
      <c r="G19">
        <v>11.679</v>
      </c>
    </row>
    <row r="20" spans="1:7" x14ac:dyDescent="0.15">
      <c r="A20" s="141" t="s">
        <v>97</v>
      </c>
      <c r="B20">
        <v>11941.644399999999</v>
      </c>
      <c r="C20">
        <v>33.501899999999999</v>
      </c>
      <c r="D20">
        <v>37.166899999999998</v>
      </c>
      <c r="E20">
        <v>38.611499999999999</v>
      </c>
      <c r="F20">
        <v>23474.697</v>
      </c>
      <c r="G20">
        <v>10.048</v>
      </c>
    </row>
    <row r="21" spans="1:7" x14ac:dyDescent="0.15">
      <c r="A21" s="141" t="s">
        <v>98</v>
      </c>
      <c r="B21">
        <v>42998.7111</v>
      </c>
      <c r="C21">
        <v>40.1858</v>
      </c>
      <c r="D21">
        <v>44.069800000000001</v>
      </c>
      <c r="E21">
        <v>45.479399999999998</v>
      </c>
      <c r="F21">
        <v>64224.675999999999</v>
      </c>
      <c r="G21">
        <v>13.679</v>
      </c>
    </row>
    <row r="22" spans="1:7" x14ac:dyDescent="0.15">
      <c r="A22" s="141" t="s">
        <v>99</v>
      </c>
      <c r="B22">
        <v>23403.2127</v>
      </c>
      <c r="C22">
        <v>38.706299999999999</v>
      </c>
      <c r="D22">
        <v>43.029899999999998</v>
      </c>
      <c r="E22">
        <v>43.958799999999997</v>
      </c>
      <c r="F22">
        <v>41351.406000000003</v>
      </c>
      <c r="G22">
        <v>11.756</v>
      </c>
    </row>
    <row r="23" spans="1:7" x14ac:dyDescent="0.15">
      <c r="A23" s="141" t="s">
        <v>100</v>
      </c>
      <c r="B23">
        <v>13142.7556</v>
      </c>
      <c r="C23">
        <v>37.247100000000003</v>
      </c>
      <c r="D23">
        <v>41.877899999999997</v>
      </c>
      <c r="E23">
        <v>42.365000000000002</v>
      </c>
      <c r="F23">
        <v>26212.976999999999</v>
      </c>
      <c r="G23">
        <v>10.481</v>
      </c>
    </row>
    <row r="24" spans="1:7" x14ac:dyDescent="0.15">
      <c r="A24" s="141" t="s">
        <v>101</v>
      </c>
      <c r="B24">
        <v>7014.4825000000001</v>
      </c>
      <c r="C24">
        <v>35.314500000000002</v>
      </c>
      <c r="D24">
        <v>40.353499999999997</v>
      </c>
      <c r="E24">
        <v>40.3825</v>
      </c>
      <c r="F24">
        <v>15783.68</v>
      </c>
      <c r="G24">
        <v>9.3789999999999996</v>
      </c>
    </row>
    <row r="25" spans="1:7" x14ac:dyDescent="0.15">
      <c r="A25" s="141" t="s">
        <v>206</v>
      </c>
      <c r="B25">
        <v>65111.648000000001</v>
      </c>
      <c r="C25">
        <v>41.688299999999998</v>
      </c>
      <c r="D25">
        <v>44.173999999999999</v>
      </c>
      <c r="E25">
        <v>44.928199999999997</v>
      </c>
      <c r="F25">
        <v>72011.804999999993</v>
      </c>
      <c r="G25">
        <v>17.972999999999999</v>
      </c>
    </row>
    <row r="26" spans="1:7" x14ac:dyDescent="0.15">
      <c r="A26" s="141" t="s">
        <v>207</v>
      </c>
      <c r="B26">
        <v>41955.462399999997</v>
      </c>
      <c r="C26">
        <v>39.8904</v>
      </c>
      <c r="D26">
        <v>42.6511</v>
      </c>
      <c r="E26">
        <v>43.607799999999997</v>
      </c>
      <c r="F26">
        <v>51931.593999999997</v>
      </c>
      <c r="G26">
        <v>15.292999999999999</v>
      </c>
    </row>
    <row r="27" spans="1:7" x14ac:dyDescent="0.15">
      <c r="A27" s="141" t="s">
        <v>208</v>
      </c>
      <c r="B27">
        <v>24654.604800000001</v>
      </c>
      <c r="C27">
        <v>37.674399999999999</v>
      </c>
      <c r="D27">
        <v>41.263500000000001</v>
      </c>
      <c r="E27">
        <v>42.248800000000003</v>
      </c>
      <c r="F27">
        <v>35295.644999999997</v>
      </c>
      <c r="G27">
        <v>13.411</v>
      </c>
    </row>
    <row r="28" spans="1:7" x14ac:dyDescent="0.15">
      <c r="A28" s="141" t="s">
        <v>209</v>
      </c>
      <c r="B28">
        <v>12459.2768</v>
      </c>
      <c r="C28">
        <v>34.997199999999999</v>
      </c>
      <c r="D28">
        <v>39.688800000000001</v>
      </c>
      <c r="E28">
        <v>40.598300000000002</v>
      </c>
      <c r="F28">
        <v>21661.611000000001</v>
      </c>
      <c r="G28">
        <v>11.742000000000001</v>
      </c>
    </row>
    <row r="29" spans="1:7" x14ac:dyDescent="0.15">
      <c r="A29" s="141" t="s">
        <v>210</v>
      </c>
      <c r="B29">
        <v>39891.321600000003</v>
      </c>
      <c r="C29">
        <v>44.859499999999997</v>
      </c>
      <c r="D29">
        <v>47.069299999999998</v>
      </c>
      <c r="E29">
        <v>48.015999999999998</v>
      </c>
      <c r="F29">
        <v>49765.078000000001</v>
      </c>
      <c r="G29">
        <v>15.249000000000001</v>
      </c>
    </row>
    <row r="30" spans="1:7" x14ac:dyDescent="0.15">
      <c r="A30" s="141" t="s">
        <v>211</v>
      </c>
      <c r="B30">
        <v>26307.430400000001</v>
      </c>
      <c r="C30">
        <v>42.712499999999999</v>
      </c>
      <c r="D30">
        <v>45.302399999999999</v>
      </c>
      <c r="E30">
        <v>46.144399999999997</v>
      </c>
      <c r="F30">
        <v>38314.413999999997</v>
      </c>
      <c r="G30">
        <v>13.708</v>
      </c>
    </row>
    <row r="31" spans="1:7" x14ac:dyDescent="0.15">
      <c r="A31" s="141" t="s">
        <v>212</v>
      </c>
      <c r="B31">
        <v>15583.046399999999</v>
      </c>
      <c r="C31">
        <v>40.039299999999997</v>
      </c>
      <c r="D31">
        <v>43.6798</v>
      </c>
      <c r="E31">
        <v>44.342700000000001</v>
      </c>
      <c r="F31">
        <v>26907.794999999998</v>
      </c>
      <c r="G31">
        <v>12.212999999999999</v>
      </c>
    </row>
    <row r="32" spans="1:7" x14ac:dyDescent="0.15">
      <c r="A32" s="141" t="s">
        <v>213</v>
      </c>
      <c r="B32">
        <v>8138.0672000000004</v>
      </c>
      <c r="C32">
        <v>36.983899999999998</v>
      </c>
      <c r="D32">
        <v>41.812800000000003</v>
      </c>
      <c r="E32">
        <v>42.187600000000003</v>
      </c>
      <c r="F32">
        <v>16656.030999999999</v>
      </c>
      <c r="G32">
        <v>10.757999999999999</v>
      </c>
    </row>
    <row r="33" spans="1:7" x14ac:dyDescent="0.15">
      <c r="A33" s="141" t="s">
        <v>102</v>
      </c>
      <c r="B33">
        <v>54232.108800000002</v>
      </c>
      <c r="C33">
        <v>41.691600000000001</v>
      </c>
      <c r="D33">
        <v>45.695700000000002</v>
      </c>
      <c r="E33">
        <v>46.055199999999999</v>
      </c>
      <c r="F33">
        <v>49216.351999999999</v>
      </c>
      <c r="G33">
        <v>9.7240000000000002</v>
      </c>
    </row>
    <row r="34" spans="1:7" x14ac:dyDescent="0.15">
      <c r="A34" s="141" t="s">
        <v>103</v>
      </c>
      <c r="B34">
        <v>37054.7264</v>
      </c>
      <c r="C34">
        <v>38.760300000000001</v>
      </c>
      <c r="D34">
        <v>43.735900000000001</v>
      </c>
      <c r="E34">
        <v>44.156500000000001</v>
      </c>
      <c r="F34">
        <v>40742.004000000001</v>
      </c>
      <c r="G34">
        <v>9.0470000000000006</v>
      </c>
    </row>
    <row r="35" spans="1:7" x14ac:dyDescent="0.15">
      <c r="A35" s="141" t="s">
        <v>104</v>
      </c>
      <c r="B35">
        <v>22016.6528</v>
      </c>
      <c r="C35">
        <v>35.389600000000002</v>
      </c>
      <c r="D35">
        <v>42.098399999999998</v>
      </c>
      <c r="E35">
        <v>42.624099999999999</v>
      </c>
      <c r="F35">
        <v>30868.02</v>
      </c>
      <c r="G35">
        <v>7.6180000000000003</v>
      </c>
    </row>
    <row r="36" spans="1:7" x14ac:dyDescent="0.15">
      <c r="A36" s="141" t="s">
        <v>105</v>
      </c>
      <c r="B36">
        <v>10870.5728</v>
      </c>
      <c r="C36">
        <v>31.769400000000001</v>
      </c>
      <c r="D36">
        <v>40.547600000000003</v>
      </c>
      <c r="E36">
        <v>41.185200000000002</v>
      </c>
      <c r="F36">
        <v>19662.164000000001</v>
      </c>
      <c r="G36">
        <v>6.1669999999999998</v>
      </c>
    </row>
    <row r="37" spans="1:7" x14ac:dyDescent="0.15">
      <c r="A37" s="141" t="s">
        <v>106</v>
      </c>
      <c r="B37">
        <v>20390.604800000001</v>
      </c>
      <c r="C37">
        <v>42.667299999999997</v>
      </c>
      <c r="D37">
        <v>45.424700000000001</v>
      </c>
      <c r="E37">
        <v>46.883699999999997</v>
      </c>
      <c r="F37">
        <v>28082.603999999999</v>
      </c>
      <c r="G37">
        <v>6.9790000000000001</v>
      </c>
    </row>
    <row r="38" spans="1:7" x14ac:dyDescent="0.15">
      <c r="A38" s="141" t="s">
        <v>107</v>
      </c>
      <c r="B38">
        <v>11599.974399999999</v>
      </c>
      <c r="C38">
        <v>40.650100000000002</v>
      </c>
      <c r="D38">
        <v>44.457099999999997</v>
      </c>
      <c r="E38">
        <v>45.218400000000003</v>
      </c>
      <c r="F38">
        <v>19347.248</v>
      </c>
      <c r="G38">
        <v>6.056</v>
      </c>
    </row>
    <row r="39" spans="1:7" x14ac:dyDescent="0.15">
      <c r="A39" s="141" t="s">
        <v>108</v>
      </c>
      <c r="B39">
        <v>6433.0752000000002</v>
      </c>
      <c r="C39">
        <v>38.646500000000003</v>
      </c>
      <c r="D39">
        <v>43.451300000000003</v>
      </c>
      <c r="E39">
        <v>43.488599999999998</v>
      </c>
      <c r="F39">
        <v>12425.243</v>
      </c>
      <c r="G39">
        <v>5.2549999999999999</v>
      </c>
    </row>
    <row r="40" spans="1:7" x14ac:dyDescent="0.15">
      <c r="A40" s="141" t="s">
        <v>109</v>
      </c>
      <c r="B40">
        <v>3281.9456</v>
      </c>
      <c r="C40">
        <v>36.2714</v>
      </c>
      <c r="D40">
        <v>42.055500000000002</v>
      </c>
      <c r="E40">
        <v>41.349200000000003</v>
      </c>
      <c r="F40">
        <v>7568.3829999999998</v>
      </c>
      <c r="G40">
        <v>4.8760000000000003</v>
      </c>
    </row>
    <row r="41" spans="1:7" x14ac:dyDescent="0.15">
      <c r="A41" s="141" t="s">
        <v>110</v>
      </c>
      <c r="B41">
        <v>15326.464</v>
      </c>
      <c r="C41">
        <v>44.1815</v>
      </c>
      <c r="D41">
        <v>46.9116</v>
      </c>
      <c r="E41">
        <v>47.778799999999997</v>
      </c>
      <c r="F41">
        <v>22378.646000000001</v>
      </c>
      <c r="G41">
        <v>6.5679999999999996</v>
      </c>
    </row>
    <row r="42" spans="1:7" x14ac:dyDescent="0.15">
      <c r="A42" s="141" t="s">
        <v>111</v>
      </c>
      <c r="B42">
        <v>10382.924800000001</v>
      </c>
      <c r="C42">
        <v>42.447200000000002</v>
      </c>
      <c r="D42">
        <v>45.676200000000001</v>
      </c>
      <c r="E42">
        <v>46.351399999999998</v>
      </c>
      <c r="F42">
        <v>16702.826000000001</v>
      </c>
      <c r="G42">
        <v>5.9349999999999996</v>
      </c>
    </row>
    <row r="43" spans="1:7" x14ac:dyDescent="0.15">
      <c r="A43" s="141" t="s">
        <v>112</v>
      </c>
      <c r="B43">
        <v>6558.7327999999998</v>
      </c>
      <c r="C43">
        <v>40.103999999999999</v>
      </c>
      <c r="D43">
        <v>44.288400000000003</v>
      </c>
      <c r="E43">
        <v>44.827599999999997</v>
      </c>
      <c r="F43">
        <v>11767.558000000001</v>
      </c>
      <c r="G43">
        <v>5.5039999999999996</v>
      </c>
    </row>
    <row r="44" spans="1:7" x14ac:dyDescent="0.15">
      <c r="A44" s="141" t="s">
        <v>113</v>
      </c>
      <c r="B44">
        <v>3793.7984000000001</v>
      </c>
      <c r="C44">
        <v>37.116900000000001</v>
      </c>
      <c r="D44">
        <v>42.518799999999999</v>
      </c>
      <c r="E44">
        <v>42.941099999999999</v>
      </c>
      <c r="F44">
        <v>7959.8779999999997</v>
      </c>
      <c r="G44">
        <v>5.0149999999999997</v>
      </c>
    </row>
    <row r="45" spans="1:7" x14ac:dyDescent="0.15">
      <c r="A45" s="141" t="s">
        <v>114</v>
      </c>
      <c r="B45">
        <v>16543.328000000001</v>
      </c>
      <c r="C45">
        <v>44.1265</v>
      </c>
      <c r="D45">
        <v>48.393099999999997</v>
      </c>
      <c r="E45">
        <v>48.147599999999997</v>
      </c>
      <c r="F45">
        <v>21999.261999999999</v>
      </c>
      <c r="G45">
        <v>6.3029999999999999</v>
      </c>
    </row>
    <row r="46" spans="1:7" x14ac:dyDescent="0.15">
      <c r="A46" s="141" t="s">
        <v>115</v>
      </c>
      <c r="B46">
        <v>11480.947200000001</v>
      </c>
      <c r="C46">
        <v>42.376199999999997</v>
      </c>
      <c r="D46">
        <v>47.247100000000003</v>
      </c>
      <c r="E46">
        <v>46.526800000000001</v>
      </c>
      <c r="F46">
        <v>16880.213</v>
      </c>
      <c r="G46">
        <v>5.6520000000000001</v>
      </c>
    </row>
    <row r="47" spans="1:7" x14ac:dyDescent="0.15">
      <c r="A47" s="141" t="s">
        <v>116</v>
      </c>
      <c r="B47">
        <v>7450.1247999999996</v>
      </c>
      <c r="C47">
        <v>39.9724</v>
      </c>
      <c r="D47">
        <v>46.021299999999997</v>
      </c>
      <c r="E47">
        <v>44.681800000000003</v>
      </c>
      <c r="F47">
        <v>12345.812</v>
      </c>
      <c r="G47">
        <v>5.2649999999999997</v>
      </c>
    </row>
    <row r="48" spans="1:7" x14ac:dyDescent="0.15">
      <c r="A48" s="141" t="s">
        <v>117</v>
      </c>
      <c r="B48">
        <v>4334.9440000000004</v>
      </c>
      <c r="C48">
        <v>36.746699999999997</v>
      </c>
      <c r="D48">
        <v>44.255899999999997</v>
      </c>
      <c r="E48">
        <v>42.363999999999997</v>
      </c>
      <c r="F48">
        <v>8470.652</v>
      </c>
      <c r="G48">
        <v>4.7300000000000004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14789.8</v>
      </c>
      <c r="C73">
        <v>40.076999999999998</v>
      </c>
      <c r="D73">
        <v>48.924100000000003</v>
      </c>
      <c r="E73">
        <v>46.924999999999997</v>
      </c>
      <c r="F73">
        <v>325190.78600000002</v>
      </c>
      <c r="G73">
        <v>63.844999999999999</v>
      </c>
    </row>
    <row r="74" spans="1:7" x14ac:dyDescent="0.15">
      <c r="A74" s="141" t="s">
        <v>223</v>
      </c>
      <c r="B74">
        <v>6857.9960000000001</v>
      </c>
      <c r="C74">
        <v>39.576300000000003</v>
      </c>
      <c r="D74">
        <v>48.324100000000001</v>
      </c>
      <c r="E74">
        <v>46.051699999999997</v>
      </c>
      <c r="F74">
        <v>192469.383</v>
      </c>
      <c r="G74">
        <v>62.787999999999997</v>
      </c>
    </row>
    <row r="75" spans="1:7" x14ac:dyDescent="0.15">
      <c r="A75" s="141" t="s">
        <v>224</v>
      </c>
      <c r="B75">
        <v>3705.248</v>
      </c>
      <c r="C75">
        <v>38.716000000000001</v>
      </c>
      <c r="D75">
        <v>47.327300000000001</v>
      </c>
      <c r="E75">
        <v>44.732199999999999</v>
      </c>
      <c r="F75">
        <v>96476.134999999995</v>
      </c>
      <c r="G75">
        <v>57.643999999999998</v>
      </c>
    </row>
    <row r="76" spans="1:7" x14ac:dyDescent="0.15">
      <c r="A76" s="141" t="s">
        <v>225</v>
      </c>
      <c r="B76">
        <v>1961.8320000000001</v>
      </c>
      <c r="C76">
        <v>37.2042</v>
      </c>
      <c r="D76">
        <v>46.080100000000002</v>
      </c>
      <c r="E76">
        <v>43.069800000000001</v>
      </c>
      <c r="F76">
        <v>47123.78</v>
      </c>
      <c r="G76">
        <v>50.548999999999999</v>
      </c>
    </row>
    <row r="77" spans="1:7" x14ac:dyDescent="0.15">
      <c r="A77" s="141" t="s">
        <v>226</v>
      </c>
      <c r="B77">
        <v>77900.460000000006</v>
      </c>
      <c r="C77">
        <v>41.578899999999997</v>
      </c>
      <c r="D77">
        <v>36.269300000000001</v>
      </c>
      <c r="E77">
        <v>37.373600000000003</v>
      </c>
      <c r="F77">
        <v>627495.64500000002</v>
      </c>
      <c r="G77">
        <v>69.418999999999997</v>
      </c>
    </row>
    <row r="78" spans="1:7" x14ac:dyDescent="0.15">
      <c r="A78" s="141" t="s">
        <v>227</v>
      </c>
      <c r="B78">
        <v>40400.296000000002</v>
      </c>
      <c r="C78">
        <v>38.9818</v>
      </c>
      <c r="D78">
        <v>34.330800000000004</v>
      </c>
      <c r="E78">
        <v>35.659199999999998</v>
      </c>
      <c r="F78">
        <v>395493.01</v>
      </c>
      <c r="G78">
        <v>60.552999999999997</v>
      </c>
    </row>
    <row r="79" spans="1:7" x14ac:dyDescent="0.15">
      <c r="A79" s="141" t="s">
        <v>228</v>
      </c>
      <c r="B79">
        <v>19050.848000000002</v>
      </c>
      <c r="C79">
        <v>36.0807</v>
      </c>
      <c r="D79">
        <v>32.598700000000001</v>
      </c>
      <c r="E79">
        <v>34.117600000000003</v>
      </c>
      <c r="F79">
        <v>246132.389</v>
      </c>
      <c r="G79">
        <v>57.564</v>
      </c>
    </row>
    <row r="80" spans="1:7" x14ac:dyDescent="0.15">
      <c r="A80" s="141" t="s">
        <v>229</v>
      </c>
      <c r="B80">
        <v>7848.88</v>
      </c>
      <c r="C80">
        <v>33.0137</v>
      </c>
      <c r="D80">
        <v>30.991099999999999</v>
      </c>
      <c r="E80">
        <v>32.724200000000003</v>
      </c>
      <c r="F80">
        <v>141618.41899999999</v>
      </c>
      <c r="G80">
        <v>53.863</v>
      </c>
    </row>
    <row r="81" spans="1:7" x14ac:dyDescent="0.15">
      <c r="A81" s="141" t="s">
        <v>230</v>
      </c>
      <c r="B81">
        <v>39137.379999999997</v>
      </c>
      <c r="C81">
        <v>38.308199999999999</v>
      </c>
      <c r="D81">
        <v>40.3172</v>
      </c>
      <c r="E81">
        <v>41.3108</v>
      </c>
      <c r="F81">
        <v>346930.59700000001</v>
      </c>
      <c r="G81">
        <v>38.850999999999999</v>
      </c>
    </row>
    <row r="82" spans="1:7" x14ac:dyDescent="0.15">
      <c r="A82" s="141" t="s">
        <v>231</v>
      </c>
      <c r="B82">
        <v>18990.099999999999</v>
      </c>
      <c r="C82">
        <v>37.182400000000001</v>
      </c>
      <c r="D82">
        <v>37.827300000000001</v>
      </c>
      <c r="E82">
        <v>40.009</v>
      </c>
      <c r="F82">
        <v>199605.91899999999</v>
      </c>
      <c r="G82">
        <v>33.83</v>
      </c>
    </row>
    <row r="83" spans="1:7" x14ac:dyDescent="0.15">
      <c r="A83" s="141" t="s">
        <v>232</v>
      </c>
      <c r="B83">
        <v>9388.3680000000004</v>
      </c>
      <c r="C83">
        <v>35.799799999999998</v>
      </c>
      <c r="D83">
        <v>35.643700000000003</v>
      </c>
      <c r="E83">
        <v>38.698999999999998</v>
      </c>
      <c r="F83">
        <v>119946.659</v>
      </c>
      <c r="G83">
        <v>30.489000000000001</v>
      </c>
    </row>
    <row r="84" spans="1:7" x14ac:dyDescent="0.15">
      <c r="A84" s="141" t="s">
        <v>233</v>
      </c>
      <c r="B84">
        <v>4757.4960000000001</v>
      </c>
      <c r="C84">
        <v>33.9604</v>
      </c>
      <c r="D84">
        <v>33.773400000000002</v>
      </c>
      <c r="E84">
        <v>37.2408</v>
      </c>
      <c r="F84">
        <v>71418.542000000001</v>
      </c>
      <c r="G84">
        <v>27.361999999999998</v>
      </c>
    </row>
    <row r="85" spans="1:7" x14ac:dyDescent="0.15">
      <c r="A85" s="141" t="s">
        <v>234</v>
      </c>
      <c r="B85">
        <v>25591.08</v>
      </c>
      <c r="C85">
        <v>37.609000000000002</v>
      </c>
      <c r="D85">
        <v>45.136800000000001</v>
      </c>
      <c r="E85">
        <v>42.7746</v>
      </c>
      <c r="F85">
        <v>475087.57400000002</v>
      </c>
      <c r="G85">
        <v>65.12</v>
      </c>
    </row>
    <row r="86" spans="1:7" x14ac:dyDescent="0.15">
      <c r="A86" s="141" t="s">
        <v>235</v>
      </c>
      <c r="B86">
        <v>9254.3639999999996</v>
      </c>
      <c r="C86">
        <v>37.043599999999998</v>
      </c>
      <c r="D86">
        <v>44.534599999999998</v>
      </c>
      <c r="E86">
        <v>42.095100000000002</v>
      </c>
      <c r="F86">
        <v>251698.397</v>
      </c>
      <c r="G86">
        <v>55.720999999999997</v>
      </c>
    </row>
    <row r="87" spans="1:7" x14ac:dyDescent="0.15">
      <c r="A87" s="141" t="s">
        <v>236</v>
      </c>
      <c r="B87">
        <v>4563.9279999999999</v>
      </c>
      <c r="C87">
        <v>36.180999999999997</v>
      </c>
      <c r="D87">
        <v>43.601199999999999</v>
      </c>
      <c r="E87">
        <v>41.113500000000002</v>
      </c>
      <c r="F87">
        <v>131541.51500000001</v>
      </c>
      <c r="G87">
        <v>48.959000000000003</v>
      </c>
    </row>
    <row r="88" spans="1:7" x14ac:dyDescent="0.15">
      <c r="A88" s="141" t="s">
        <v>237</v>
      </c>
      <c r="B88">
        <v>2200.46</v>
      </c>
      <c r="C88">
        <v>34.701799999999999</v>
      </c>
      <c r="D88">
        <v>42.3125</v>
      </c>
      <c r="E88">
        <v>39.845300000000002</v>
      </c>
      <c r="F88">
        <v>64329.911999999997</v>
      </c>
      <c r="G88">
        <v>41.834000000000003</v>
      </c>
    </row>
    <row r="89" spans="1:7" x14ac:dyDescent="0.15">
      <c r="A89" s="141" t="s">
        <v>118</v>
      </c>
      <c r="B89">
        <v>10049.26</v>
      </c>
      <c r="C89">
        <v>37.979700000000001</v>
      </c>
      <c r="D89">
        <v>39.720999999999997</v>
      </c>
      <c r="E89">
        <v>43.091799999999999</v>
      </c>
      <c r="F89">
        <v>105508.677</v>
      </c>
      <c r="G89">
        <v>13.365</v>
      </c>
    </row>
    <row r="90" spans="1:7" x14ac:dyDescent="0.15">
      <c r="A90" s="141" t="s">
        <v>119</v>
      </c>
      <c r="B90">
        <v>4717.1279999999997</v>
      </c>
      <c r="C90">
        <v>36.881100000000004</v>
      </c>
      <c r="D90">
        <v>39.189599999999999</v>
      </c>
      <c r="E90">
        <v>41.972900000000003</v>
      </c>
      <c r="F90">
        <v>63385.701999999997</v>
      </c>
      <c r="G90">
        <v>11.445</v>
      </c>
    </row>
    <row r="91" spans="1:7" x14ac:dyDescent="0.15">
      <c r="A91" s="141" t="s">
        <v>120</v>
      </c>
      <c r="B91">
        <v>2398.3440000000001</v>
      </c>
      <c r="C91">
        <v>35.2973</v>
      </c>
      <c r="D91">
        <v>38.465499999999999</v>
      </c>
      <c r="E91">
        <v>40.6023</v>
      </c>
      <c r="F91">
        <v>37687.055999999997</v>
      </c>
      <c r="G91">
        <v>10.443</v>
      </c>
    </row>
    <row r="92" spans="1:7" x14ac:dyDescent="0.15">
      <c r="A92" s="141" t="s">
        <v>121</v>
      </c>
      <c r="B92">
        <v>1120.44</v>
      </c>
      <c r="C92">
        <v>33.049100000000003</v>
      </c>
      <c r="D92">
        <v>37.382399999999997</v>
      </c>
      <c r="E92">
        <v>38.925899999999999</v>
      </c>
      <c r="F92">
        <v>20626.091</v>
      </c>
      <c r="G92">
        <v>9.5310000000000006</v>
      </c>
    </row>
    <row r="93" spans="1:7" x14ac:dyDescent="0.15">
      <c r="A93" s="141" t="s">
        <v>122</v>
      </c>
      <c r="B93">
        <v>8813.2880000000005</v>
      </c>
      <c r="C93">
        <v>38.901699999999998</v>
      </c>
      <c r="D93">
        <v>43.935899999999997</v>
      </c>
      <c r="E93">
        <v>45.039900000000003</v>
      </c>
      <c r="F93">
        <v>107753.804</v>
      </c>
      <c r="G93">
        <v>14.877000000000001</v>
      </c>
    </row>
    <row r="94" spans="1:7" x14ac:dyDescent="0.15">
      <c r="A94" s="141" t="s">
        <v>123</v>
      </c>
      <c r="B94">
        <v>4393.3</v>
      </c>
      <c r="C94">
        <v>37.856400000000001</v>
      </c>
      <c r="D94">
        <v>43.0976</v>
      </c>
      <c r="E94">
        <v>43.616300000000003</v>
      </c>
      <c r="F94">
        <v>67371.070000000007</v>
      </c>
      <c r="G94">
        <v>13.722</v>
      </c>
    </row>
    <row r="95" spans="1:7" x14ac:dyDescent="0.15">
      <c r="A95" s="141" t="s">
        <v>124</v>
      </c>
      <c r="B95">
        <v>2236.944</v>
      </c>
      <c r="C95">
        <v>36.360100000000003</v>
      </c>
      <c r="D95">
        <v>41.990099999999998</v>
      </c>
      <c r="E95">
        <v>41.975000000000001</v>
      </c>
      <c r="F95">
        <v>36880.940999999999</v>
      </c>
      <c r="G95">
        <v>11.941000000000001</v>
      </c>
    </row>
    <row r="96" spans="1:7" x14ac:dyDescent="0.15">
      <c r="A96" s="141" t="s">
        <v>125</v>
      </c>
      <c r="B96">
        <v>1102.78</v>
      </c>
      <c r="C96">
        <v>34.294499999999999</v>
      </c>
      <c r="D96">
        <v>40.634799999999998</v>
      </c>
      <c r="E96">
        <v>40.153100000000002</v>
      </c>
      <c r="F96">
        <v>20895.306</v>
      </c>
      <c r="G96">
        <v>10.393000000000001</v>
      </c>
    </row>
    <row r="97" spans="1:7" x14ac:dyDescent="0.15">
      <c r="A97" s="141" t="s">
        <v>238</v>
      </c>
      <c r="B97">
        <v>6898.6480000000001</v>
      </c>
      <c r="C97">
        <v>39.6569</v>
      </c>
      <c r="D97">
        <v>43.66</v>
      </c>
      <c r="E97">
        <v>44.867199999999997</v>
      </c>
      <c r="F97">
        <v>100181.37699999999</v>
      </c>
      <c r="G97">
        <v>15.750999999999999</v>
      </c>
    </row>
    <row r="98" spans="1:7" x14ac:dyDescent="0.15">
      <c r="A98" s="141" t="s">
        <v>239</v>
      </c>
      <c r="B98">
        <v>3244.9720000000002</v>
      </c>
      <c r="C98">
        <v>38.460299999999997</v>
      </c>
      <c r="D98">
        <v>42.894500000000001</v>
      </c>
      <c r="E98">
        <v>44.1907</v>
      </c>
      <c r="F98">
        <v>60119.913</v>
      </c>
      <c r="G98">
        <v>13.997</v>
      </c>
    </row>
    <row r="99" spans="1:7" x14ac:dyDescent="0.15">
      <c r="A99" s="141" t="s">
        <v>240</v>
      </c>
      <c r="B99">
        <v>1544.116</v>
      </c>
      <c r="C99">
        <v>36.756</v>
      </c>
      <c r="D99">
        <v>41.892299999999999</v>
      </c>
      <c r="E99">
        <v>43.175600000000003</v>
      </c>
      <c r="F99">
        <v>33078.067000000003</v>
      </c>
      <c r="G99">
        <v>12.49</v>
      </c>
    </row>
    <row r="100" spans="1:7" x14ac:dyDescent="0.15">
      <c r="A100" s="141" t="s">
        <v>241</v>
      </c>
      <c r="B100">
        <v>694.24400000000003</v>
      </c>
      <c r="C100">
        <v>34.5304</v>
      </c>
      <c r="D100">
        <v>40.616900000000001</v>
      </c>
      <c r="E100">
        <v>41.811199999999999</v>
      </c>
      <c r="F100">
        <v>17298.918000000001</v>
      </c>
      <c r="G100">
        <v>10.677</v>
      </c>
    </row>
    <row r="101" spans="1:7" x14ac:dyDescent="0.15">
      <c r="A101" s="141" t="s">
        <v>242</v>
      </c>
      <c r="B101">
        <v>5762.9080000000004</v>
      </c>
      <c r="C101">
        <v>44.831499999999998</v>
      </c>
      <c r="D101">
        <v>47.206800000000001</v>
      </c>
      <c r="E101">
        <v>48.178800000000003</v>
      </c>
      <c r="F101">
        <v>71738.732000000004</v>
      </c>
      <c r="G101">
        <v>15.714</v>
      </c>
    </row>
    <row r="102" spans="1:7" x14ac:dyDescent="0.15">
      <c r="A102" s="141" t="s">
        <v>243</v>
      </c>
      <c r="B102">
        <v>3533.7440000000001</v>
      </c>
      <c r="C102">
        <v>42.594099999999997</v>
      </c>
      <c r="D102">
        <v>45.651699999999998</v>
      </c>
      <c r="E102">
        <v>46.453899999999997</v>
      </c>
      <c r="F102">
        <v>50537.139000000003</v>
      </c>
      <c r="G102">
        <v>14.365</v>
      </c>
    </row>
    <row r="103" spans="1:7" x14ac:dyDescent="0.15">
      <c r="A103" s="141" t="s">
        <v>244</v>
      </c>
      <c r="B103">
        <v>1966.6759999999999</v>
      </c>
      <c r="C103">
        <v>39.781300000000002</v>
      </c>
      <c r="D103">
        <v>43.993899999999996</v>
      </c>
      <c r="E103">
        <v>44.548200000000001</v>
      </c>
      <c r="F103">
        <v>32999.968999999997</v>
      </c>
      <c r="G103">
        <v>12.978999999999999</v>
      </c>
    </row>
    <row r="104" spans="1:7" x14ac:dyDescent="0.15">
      <c r="A104" s="141" t="s">
        <v>245</v>
      </c>
      <c r="B104">
        <v>996.67600000000004</v>
      </c>
      <c r="C104">
        <v>36.602800000000002</v>
      </c>
      <c r="D104">
        <v>42.348500000000001</v>
      </c>
      <c r="E104">
        <v>42.644100000000002</v>
      </c>
      <c r="F104">
        <v>18886.432000000001</v>
      </c>
      <c r="G104">
        <v>10.965999999999999</v>
      </c>
    </row>
    <row r="105" spans="1:7" x14ac:dyDescent="0.15">
      <c r="A105" s="141" t="s">
        <v>126</v>
      </c>
      <c r="B105">
        <v>4193.8559999999998</v>
      </c>
      <c r="C105">
        <v>38.528300000000002</v>
      </c>
      <c r="D105">
        <v>45.814900000000002</v>
      </c>
      <c r="E105">
        <v>46.028599999999997</v>
      </c>
      <c r="F105">
        <v>49638.125999999997</v>
      </c>
      <c r="G105">
        <v>6.49</v>
      </c>
    </row>
    <row r="106" spans="1:7" x14ac:dyDescent="0.15">
      <c r="A106" s="141" t="s">
        <v>127</v>
      </c>
      <c r="B106">
        <v>1776.068</v>
      </c>
      <c r="C106">
        <v>36.929699999999997</v>
      </c>
      <c r="D106">
        <v>44.6404</v>
      </c>
      <c r="E106">
        <v>44.820500000000003</v>
      </c>
      <c r="F106">
        <v>27306.136999999999</v>
      </c>
      <c r="G106">
        <v>5.4029999999999996</v>
      </c>
    </row>
    <row r="107" spans="1:7" x14ac:dyDescent="0.15">
      <c r="A107" s="141" t="s">
        <v>128</v>
      </c>
      <c r="B107">
        <v>819</v>
      </c>
      <c r="C107">
        <v>34.944800000000001</v>
      </c>
      <c r="D107">
        <v>43.135399999999997</v>
      </c>
      <c r="E107">
        <v>43.423299999999998</v>
      </c>
      <c r="F107">
        <v>14890.583000000001</v>
      </c>
      <c r="G107">
        <v>4.8209999999999997</v>
      </c>
    </row>
    <row r="108" spans="1:7" x14ac:dyDescent="0.15">
      <c r="A108" s="141" t="s">
        <v>129</v>
      </c>
      <c r="B108">
        <v>392.02800000000002</v>
      </c>
      <c r="C108">
        <v>32.324300000000001</v>
      </c>
      <c r="D108">
        <v>41.2119</v>
      </c>
      <c r="E108">
        <v>41.773400000000002</v>
      </c>
      <c r="F108">
        <v>7836.8860000000004</v>
      </c>
      <c r="G108">
        <v>4.1369999999999996</v>
      </c>
    </row>
    <row r="109" spans="1:7" x14ac:dyDescent="0.15">
      <c r="A109" s="141" t="s">
        <v>130</v>
      </c>
      <c r="B109">
        <v>2482.9760000000001</v>
      </c>
      <c r="C109">
        <v>40.595799999999997</v>
      </c>
      <c r="D109">
        <v>46.082799999999999</v>
      </c>
      <c r="E109">
        <v>47.178800000000003</v>
      </c>
      <c r="F109">
        <v>38188.834000000003</v>
      </c>
      <c r="G109">
        <v>6.86</v>
      </c>
    </row>
    <row r="110" spans="1:7" x14ac:dyDescent="0.15">
      <c r="A110" s="141" t="s">
        <v>131</v>
      </c>
      <c r="B110">
        <v>1137.32</v>
      </c>
      <c r="C110">
        <v>39.4861</v>
      </c>
      <c r="D110">
        <v>45.508000000000003</v>
      </c>
      <c r="E110">
        <v>45.935899999999997</v>
      </c>
      <c r="F110">
        <v>21204.74</v>
      </c>
      <c r="G110">
        <v>5.8970000000000002</v>
      </c>
    </row>
    <row r="111" spans="1:7" x14ac:dyDescent="0.15">
      <c r="A111" s="141" t="s">
        <v>132</v>
      </c>
      <c r="B111">
        <v>536.70000000000005</v>
      </c>
      <c r="C111">
        <v>37.924500000000002</v>
      </c>
      <c r="D111">
        <v>44.680199999999999</v>
      </c>
      <c r="E111">
        <v>44.283999999999999</v>
      </c>
      <c r="F111">
        <v>11155.387000000001</v>
      </c>
      <c r="G111">
        <v>5.093</v>
      </c>
    </row>
    <row r="112" spans="1:7" x14ac:dyDescent="0.15">
      <c r="A112" s="141" t="s">
        <v>133</v>
      </c>
      <c r="B112">
        <v>242.42</v>
      </c>
      <c r="C112">
        <v>35.817</v>
      </c>
      <c r="D112">
        <v>43.526800000000001</v>
      </c>
      <c r="E112">
        <v>42.436</v>
      </c>
      <c r="F112">
        <v>5687.9620000000004</v>
      </c>
      <c r="G112">
        <v>4.6239999999999997</v>
      </c>
    </row>
    <row r="113" spans="1:7" x14ac:dyDescent="0.15">
      <c r="A113" s="141" t="s">
        <v>134</v>
      </c>
      <c r="B113">
        <v>946.65200000000004</v>
      </c>
      <c r="C113">
        <v>43.477400000000003</v>
      </c>
      <c r="D113">
        <v>47.107599999999998</v>
      </c>
      <c r="E113">
        <v>48.103999999999999</v>
      </c>
      <c r="F113">
        <v>17585.47</v>
      </c>
      <c r="G113">
        <v>4.7750000000000004</v>
      </c>
    </row>
    <row r="114" spans="1:7" x14ac:dyDescent="0.15">
      <c r="A114" s="141" t="s">
        <v>135</v>
      </c>
      <c r="B114">
        <v>516.34799999999996</v>
      </c>
      <c r="C114">
        <v>42.199199999999998</v>
      </c>
      <c r="D114">
        <v>46.2819</v>
      </c>
      <c r="E114">
        <v>47.1143</v>
      </c>
      <c r="F114">
        <v>10303.862999999999</v>
      </c>
      <c r="G114">
        <v>4.5190000000000001</v>
      </c>
    </row>
    <row r="115" spans="1:7" x14ac:dyDescent="0.15">
      <c r="A115" s="141" t="s">
        <v>136</v>
      </c>
      <c r="B115">
        <v>296.13600000000002</v>
      </c>
      <c r="C115">
        <v>40.4435</v>
      </c>
      <c r="D115">
        <v>45.252600000000001</v>
      </c>
      <c r="E115">
        <v>45.7926</v>
      </c>
      <c r="F115">
        <v>5655.5879999999997</v>
      </c>
      <c r="G115">
        <v>4.3140000000000001</v>
      </c>
    </row>
    <row r="116" spans="1:7" x14ac:dyDescent="0.15">
      <c r="A116" s="141" t="s">
        <v>137</v>
      </c>
      <c r="B116">
        <v>164.76</v>
      </c>
      <c r="C116">
        <v>37.884999999999998</v>
      </c>
      <c r="D116">
        <v>43.374699999999997</v>
      </c>
      <c r="E116">
        <v>43.789900000000003</v>
      </c>
      <c r="F116">
        <v>3278.6129999999998</v>
      </c>
      <c r="G116">
        <v>4.3339999999999996</v>
      </c>
    </row>
    <row r="117" spans="1:7" x14ac:dyDescent="0.15">
      <c r="A117" s="141" t="s">
        <v>138</v>
      </c>
      <c r="B117">
        <v>1342.32</v>
      </c>
      <c r="C117">
        <v>42.845799999999997</v>
      </c>
      <c r="D117">
        <v>48.650300000000001</v>
      </c>
      <c r="E117">
        <v>48.4407</v>
      </c>
      <c r="F117">
        <v>20127.066999999999</v>
      </c>
      <c r="G117">
        <v>4.7770000000000001</v>
      </c>
    </row>
    <row r="118" spans="1:7" x14ac:dyDescent="0.15">
      <c r="A118" s="141" t="s">
        <v>139</v>
      </c>
      <c r="B118">
        <v>724.66</v>
      </c>
      <c r="C118">
        <v>41.566800000000001</v>
      </c>
      <c r="D118">
        <v>47.791400000000003</v>
      </c>
      <c r="E118">
        <v>47.308500000000002</v>
      </c>
      <c r="F118">
        <v>11519.694</v>
      </c>
      <c r="G118">
        <v>4.4450000000000003</v>
      </c>
    </row>
    <row r="119" spans="1:7" x14ac:dyDescent="0.15">
      <c r="A119" s="141" t="s">
        <v>140</v>
      </c>
      <c r="B119">
        <v>407.89600000000002</v>
      </c>
      <c r="C119">
        <v>39.685299999999998</v>
      </c>
      <c r="D119">
        <v>46.682600000000001</v>
      </c>
      <c r="E119">
        <v>45.740600000000001</v>
      </c>
      <c r="F119">
        <v>6759.0559999999996</v>
      </c>
      <c r="G119">
        <v>4.4729999999999999</v>
      </c>
    </row>
    <row r="120" spans="1:7" x14ac:dyDescent="0.15">
      <c r="A120" s="141" t="s">
        <v>141</v>
      </c>
      <c r="B120">
        <v>223.84800000000001</v>
      </c>
      <c r="C120">
        <v>36.926600000000001</v>
      </c>
      <c r="D120">
        <v>45.120800000000003</v>
      </c>
      <c r="E120">
        <v>43.463299999999997</v>
      </c>
      <c r="F120">
        <v>4018.88</v>
      </c>
      <c r="G120">
        <v>4.2389999999999999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7" x14ac:dyDescent="0.15">
      <c r="A145" s="141" t="s">
        <v>254</v>
      </c>
      <c r="B145">
        <v>16976.344000000001</v>
      </c>
      <c r="C145">
        <v>40.151200000000003</v>
      </c>
      <c r="D145">
        <v>48.547400000000003</v>
      </c>
      <c r="E145">
        <v>46.403500000000001</v>
      </c>
      <c r="F145">
        <v>195502.42199999999</v>
      </c>
      <c r="G145">
        <v>29.995999999999999</v>
      </c>
    </row>
    <row r="146" spans="1:7" x14ac:dyDescent="0.15">
      <c r="A146" s="141" t="s">
        <v>255</v>
      </c>
      <c r="B146">
        <v>8565.1919999999991</v>
      </c>
      <c r="C146">
        <v>39.535299999999999</v>
      </c>
      <c r="D146">
        <v>47.656799999999997</v>
      </c>
      <c r="E146">
        <v>45.2652</v>
      </c>
      <c r="F146">
        <v>118742.79700000001</v>
      </c>
      <c r="G146">
        <v>28.045999999999999</v>
      </c>
    </row>
    <row r="147" spans="1:7" x14ac:dyDescent="0.15">
      <c r="A147" s="141" t="s">
        <v>256</v>
      </c>
      <c r="B147">
        <v>4663.0720000000001</v>
      </c>
      <c r="C147">
        <v>38.5274</v>
      </c>
      <c r="D147">
        <v>46.523400000000002</v>
      </c>
      <c r="E147">
        <v>43.867199999999997</v>
      </c>
      <c r="F147">
        <v>65179.754000000001</v>
      </c>
      <c r="G147">
        <v>24.681999999999999</v>
      </c>
    </row>
    <row r="148" spans="1:7" x14ac:dyDescent="0.15">
      <c r="A148" s="141" t="s">
        <v>257</v>
      </c>
      <c r="B148">
        <v>2536.7919999999999</v>
      </c>
      <c r="C148">
        <v>36.966299999999997</v>
      </c>
      <c r="D148">
        <v>45.148299999999999</v>
      </c>
      <c r="E148">
        <v>42.255899999999997</v>
      </c>
      <c r="F148">
        <v>34617.016000000003</v>
      </c>
      <c r="G148">
        <v>22.117000000000001</v>
      </c>
    </row>
    <row r="149" spans="1:7" x14ac:dyDescent="0.15">
      <c r="A149" s="141" t="s">
        <v>258</v>
      </c>
      <c r="B149">
        <v>94031.672000000006</v>
      </c>
      <c r="C149">
        <v>41.653799999999997</v>
      </c>
      <c r="D149">
        <v>36.4559</v>
      </c>
      <c r="E149">
        <v>37.464599999999997</v>
      </c>
      <c r="F149">
        <v>341355.31199999998</v>
      </c>
      <c r="G149">
        <v>31.094000000000001</v>
      </c>
    </row>
    <row r="150" spans="1:7" x14ac:dyDescent="0.15">
      <c r="A150" s="141" t="s">
        <v>259</v>
      </c>
      <c r="B150">
        <v>48126.192000000003</v>
      </c>
      <c r="C150">
        <v>38.878500000000003</v>
      </c>
      <c r="D150">
        <v>34.131399999999999</v>
      </c>
      <c r="E150">
        <v>35.474699999999999</v>
      </c>
      <c r="F150">
        <v>236570.266</v>
      </c>
      <c r="G150">
        <v>27.111999999999998</v>
      </c>
    </row>
    <row r="151" spans="1:7" x14ac:dyDescent="0.15">
      <c r="A151" s="141" t="s">
        <v>260</v>
      </c>
      <c r="B151">
        <v>22303.52</v>
      </c>
      <c r="C151">
        <v>35.779800000000002</v>
      </c>
      <c r="D151">
        <v>32.189500000000002</v>
      </c>
      <c r="E151">
        <v>33.763100000000001</v>
      </c>
      <c r="F151">
        <v>152237.84400000001</v>
      </c>
      <c r="G151">
        <v>23.925000000000001</v>
      </c>
    </row>
    <row r="152" spans="1:7" x14ac:dyDescent="0.15">
      <c r="A152" s="141" t="s">
        <v>261</v>
      </c>
      <c r="B152">
        <v>9341.8320000000003</v>
      </c>
      <c r="C152">
        <v>32.756</v>
      </c>
      <c r="D152">
        <v>30.5078</v>
      </c>
      <c r="E152">
        <v>32.278599999999997</v>
      </c>
      <c r="F152">
        <v>90626.991999999998</v>
      </c>
      <c r="G152">
        <v>21.748999999999999</v>
      </c>
    </row>
    <row r="153" spans="1:7" x14ac:dyDescent="0.15">
      <c r="A153" s="141" t="s">
        <v>262</v>
      </c>
      <c r="B153">
        <v>47203.328000000001</v>
      </c>
      <c r="C153">
        <v>38.897199999999998</v>
      </c>
      <c r="D153">
        <v>40.983899999999998</v>
      </c>
      <c r="E153">
        <v>41.249699999999997</v>
      </c>
      <c r="F153">
        <v>191637.984</v>
      </c>
      <c r="G153">
        <v>17.738</v>
      </c>
    </row>
    <row r="154" spans="1:7" x14ac:dyDescent="0.15">
      <c r="A154" s="141" t="s">
        <v>263</v>
      </c>
      <c r="B154">
        <v>23183.671999999999</v>
      </c>
      <c r="C154">
        <v>37.517400000000002</v>
      </c>
      <c r="D154">
        <v>38.488</v>
      </c>
      <c r="E154">
        <v>39.786099999999998</v>
      </c>
      <c r="F154">
        <v>116504.031</v>
      </c>
      <c r="G154">
        <v>15.787000000000001</v>
      </c>
    </row>
    <row r="155" spans="1:7" x14ac:dyDescent="0.15">
      <c r="A155" s="141" t="s">
        <v>264</v>
      </c>
      <c r="B155">
        <v>12047.6</v>
      </c>
      <c r="C155">
        <v>35.950699999999998</v>
      </c>
      <c r="D155">
        <v>36.332000000000001</v>
      </c>
      <c r="E155">
        <v>38.351700000000001</v>
      </c>
      <c r="F155">
        <v>74783.133000000002</v>
      </c>
      <c r="G155">
        <v>13.798</v>
      </c>
    </row>
    <row r="156" spans="1:7" x14ac:dyDescent="0.15">
      <c r="A156" s="141" t="s">
        <v>265</v>
      </c>
      <c r="B156">
        <v>5897.8320000000003</v>
      </c>
      <c r="C156">
        <v>34.028799999999997</v>
      </c>
      <c r="D156">
        <v>33.946399999999997</v>
      </c>
      <c r="E156">
        <v>36.667400000000001</v>
      </c>
      <c r="F156">
        <v>46182.277000000002</v>
      </c>
      <c r="G156">
        <v>13.002000000000001</v>
      </c>
    </row>
    <row r="157" spans="1:7" x14ac:dyDescent="0.15">
      <c r="A157" s="141" t="s">
        <v>266</v>
      </c>
      <c r="B157">
        <v>24606.304</v>
      </c>
      <c r="C157">
        <v>37.508000000000003</v>
      </c>
      <c r="D157">
        <v>44.779899999999998</v>
      </c>
      <c r="E157">
        <v>42.481099999999998</v>
      </c>
      <c r="F157">
        <v>278005.78100000002</v>
      </c>
      <c r="G157">
        <v>28.669</v>
      </c>
    </row>
    <row r="158" spans="1:7" x14ac:dyDescent="0.15">
      <c r="A158" s="141" t="s">
        <v>267</v>
      </c>
      <c r="B158">
        <v>10465.304</v>
      </c>
      <c r="C158">
        <v>36.868099999999998</v>
      </c>
      <c r="D158">
        <v>44.055399999999999</v>
      </c>
      <c r="E158">
        <v>41.691899999999997</v>
      </c>
      <c r="F158">
        <v>154480.78099999999</v>
      </c>
      <c r="G158">
        <v>24.963000000000001</v>
      </c>
    </row>
    <row r="159" spans="1:7" x14ac:dyDescent="0.15">
      <c r="A159" s="141" t="s">
        <v>268</v>
      </c>
      <c r="B159">
        <v>5243.44</v>
      </c>
      <c r="C159">
        <v>35.841299999999997</v>
      </c>
      <c r="D159">
        <v>42.995600000000003</v>
      </c>
      <c r="E159">
        <v>40.581299999999999</v>
      </c>
      <c r="F159">
        <v>96781.843999999997</v>
      </c>
      <c r="G159">
        <v>22.007999999999999</v>
      </c>
    </row>
    <row r="160" spans="1:7" x14ac:dyDescent="0.15">
      <c r="A160" s="141" t="s">
        <v>269</v>
      </c>
      <c r="B160">
        <v>2608.96</v>
      </c>
      <c r="C160">
        <v>34.251199999999997</v>
      </c>
      <c r="D160">
        <v>41.680199999999999</v>
      </c>
      <c r="E160">
        <v>39.404299999999999</v>
      </c>
      <c r="F160">
        <v>45367.891000000003</v>
      </c>
      <c r="G160">
        <v>16.922000000000001</v>
      </c>
    </row>
    <row r="161" spans="1:7" x14ac:dyDescent="0.15">
      <c r="A161" s="141" t="s">
        <v>142</v>
      </c>
      <c r="B161">
        <v>8306.8847999999998</v>
      </c>
      <c r="C161">
        <v>37.953699999999998</v>
      </c>
      <c r="D161">
        <v>39.5381</v>
      </c>
      <c r="E161">
        <v>42.5137</v>
      </c>
      <c r="F161">
        <v>314099</v>
      </c>
      <c r="G161">
        <v>25.837</v>
      </c>
    </row>
    <row r="162" spans="1:7" x14ac:dyDescent="0.15">
      <c r="A162" s="141" t="s">
        <v>143</v>
      </c>
      <c r="B162">
        <v>3932.9423999999999</v>
      </c>
      <c r="C162">
        <v>36.594999999999999</v>
      </c>
      <c r="D162">
        <v>38.8324</v>
      </c>
      <c r="E162">
        <v>41.302500000000002</v>
      </c>
      <c r="F162">
        <v>194834.03099999999</v>
      </c>
      <c r="G162">
        <v>22.431999999999999</v>
      </c>
    </row>
    <row r="163" spans="1:7" x14ac:dyDescent="0.15">
      <c r="A163" s="141" t="s">
        <v>144</v>
      </c>
      <c r="B163">
        <v>1930.2976000000001</v>
      </c>
      <c r="C163">
        <v>34.762999999999998</v>
      </c>
      <c r="D163">
        <v>37.929699999999997</v>
      </c>
      <c r="E163">
        <v>39.756300000000003</v>
      </c>
      <c r="F163">
        <v>119023.383</v>
      </c>
      <c r="G163">
        <v>19.600999999999999</v>
      </c>
    </row>
    <row r="164" spans="1:7" x14ac:dyDescent="0.15">
      <c r="A164" s="141" t="s">
        <v>145</v>
      </c>
      <c r="B164">
        <v>916.28</v>
      </c>
      <c r="C164">
        <v>32.4345</v>
      </c>
      <c r="D164">
        <v>36.843600000000002</v>
      </c>
      <c r="E164">
        <v>38.140999999999998</v>
      </c>
      <c r="F164">
        <v>70945.281000000003</v>
      </c>
      <c r="G164">
        <v>16.548999999999999</v>
      </c>
    </row>
    <row r="165" spans="1:7" x14ac:dyDescent="0.15">
      <c r="A165" s="141" t="s">
        <v>146</v>
      </c>
      <c r="B165">
        <v>9553.9632000000001</v>
      </c>
      <c r="C165">
        <v>38.691000000000003</v>
      </c>
      <c r="D165">
        <v>43.492100000000001</v>
      </c>
      <c r="E165">
        <v>44.343400000000003</v>
      </c>
      <c r="F165">
        <v>338231.03100000002</v>
      </c>
      <c r="G165">
        <v>34.161999999999999</v>
      </c>
    </row>
    <row r="166" spans="1:7" x14ac:dyDescent="0.15">
      <c r="A166" s="141" t="s">
        <v>147</v>
      </c>
      <c r="B166">
        <v>4892.6607999999997</v>
      </c>
      <c r="C166">
        <v>37.454099999999997</v>
      </c>
      <c r="D166">
        <v>42.4893</v>
      </c>
      <c r="E166">
        <v>42.8354</v>
      </c>
      <c r="F166">
        <v>210777.766</v>
      </c>
      <c r="G166">
        <v>30.666</v>
      </c>
    </row>
    <row r="167" spans="1:7" x14ac:dyDescent="0.15">
      <c r="A167" s="141" t="s">
        <v>148</v>
      </c>
      <c r="B167">
        <v>2490.0272</v>
      </c>
      <c r="C167">
        <v>35.769300000000001</v>
      </c>
      <c r="D167">
        <v>41.162100000000002</v>
      </c>
      <c r="E167">
        <v>41.045499999999997</v>
      </c>
      <c r="F167">
        <v>126673.133</v>
      </c>
      <c r="G167">
        <v>25.768999999999998</v>
      </c>
    </row>
    <row r="168" spans="1:7" x14ac:dyDescent="0.15">
      <c r="A168" s="141" t="s">
        <v>149</v>
      </c>
      <c r="B168">
        <v>1235.2303999999999</v>
      </c>
      <c r="C168">
        <v>33.690100000000001</v>
      </c>
      <c r="D168">
        <v>39.776000000000003</v>
      </c>
      <c r="E168">
        <v>39.191000000000003</v>
      </c>
      <c r="F168">
        <v>74654.616999999998</v>
      </c>
      <c r="G168">
        <v>22.791</v>
      </c>
    </row>
    <row r="169" spans="1:7" x14ac:dyDescent="0.15">
      <c r="A169" s="141" t="s">
        <v>270</v>
      </c>
      <c r="B169">
        <v>6558.5151999999998</v>
      </c>
      <c r="C169">
        <v>39.782499999999999</v>
      </c>
      <c r="D169">
        <v>43.434399999999997</v>
      </c>
      <c r="E169">
        <v>44.276600000000002</v>
      </c>
      <c r="F169">
        <v>301845.18800000002</v>
      </c>
      <c r="G169">
        <v>34.832000000000001</v>
      </c>
    </row>
    <row r="170" spans="1:7" x14ac:dyDescent="0.15">
      <c r="A170" s="141" t="s">
        <v>271</v>
      </c>
      <c r="B170">
        <v>3129.9807999999998</v>
      </c>
      <c r="C170">
        <v>38.4863</v>
      </c>
      <c r="D170">
        <v>42.5122</v>
      </c>
      <c r="E170">
        <v>43.330800000000004</v>
      </c>
      <c r="F170">
        <v>179445.875</v>
      </c>
      <c r="G170">
        <v>29.247</v>
      </c>
    </row>
    <row r="171" spans="1:7" x14ac:dyDescent="0.15">
      <c r="A171" s="141" t="s">
        <v>272</v>
      </c>
      <c r="B171">
        <v>1510.8463999999999</v>
      </c>
      <c r="C171">
        <v>36.674300000000002</v>
      </c>
      <c r="D171">
        <v>41.284599999999998</v>
      </c>
      <c r="E171">
        <v>41.985199999999999</v>
      </c>
      <c r="F171">
        <v>106355.67200000001</v>
      </c>
      <c r="G171">
        <v>26.853000000000002</v>
      </c>
    </row>
    <row r="172" spans="1:7" x14ac:dyDescent="0.15">
      <c r="A172" s="141" t="s">
        <v>273</v>
      </c>
      <c r="B172">
        <v>706.14880000000005</v>
      </c>
      <c r="C172">
        <v>34.387099999999997</v>
      </c>
      <c r="D172">
        <v>40.164299999999997</v>
      </c>
      <c r="E172">
        <v>40.674500000000002</v>
      </c>
      <c r="F172">
        <v>57738.906000000003</v>
      </c>
      <c r="G172">
        <v>23.132000000000001</v>
      </c>
    </row>
    <row r="173" spans="1:7" x14ac:dyDescent="0.15">
      <c r="A173" s="141" t="s">
        <v>274</v>
      </c>
      <c r="B173">
        <v>6961.7168000000001</v>
      </c>
      <c r="C173">
        <v>43.303800000000003</v>
      </c>
      <c r="D173">
        <v>46.0627</v>
      </c>
      <c r="E173">
        <v>46.789400000000001</v>
      </c>
      <c r="F173">
        <v>249708.32800000001</v>
      </c>
      <c r="G173">
        <v>36.508000000000003</v>
      </c>
    </row>
    <row r="174" spans="1:7" x14ac:dyDescent="0.15">
      <c r="A174" s="141" t="s">
        <v>275</v>
      </c>
      <c r="B174">
        <v>4246.4063999999998</v>
      </c>
      <c r="C174">
        <v>40.991500000000002</v>
      </c>
      <c r="D174">
        <v>44.593800000000002</v>
      </c>
      <c r="E174">
        <v>45.139400000000002</v>
      </c>
      <c r="F174">
        <v>173590.29699999999</v>
      </c>
      <c r="G174">
        <v>32.287999999999997</v>
      </c>
    </row>
    <row r="175" spans="1:7" x14ac:dyDescent="0.15">
      <c r="A175" s="141" t="s">
        <v>276</v>
      </c>
      <c r="B175">
        <v>2348.6415999999999</v>
      </c>
      <c r="C175">
        <v>38.212400000000002</v>
      </c>
      <c r="D175">
        <v>42.953299999999999</v>
      </c>
      <c r="E175">
        <v>43.316299999999998</v>
      </c>
      <c r="F175">
        <v>118297.641</v>
      </c>
      <c r="G175">
        <v>29.831</v>
      </c>
    </row>
    <row r="176" spans="1:7" x14ac:dyDescent="0.15">
      <c r="A176" s="141" t="s">
        <v>277</v>
      </c>
      <c r="B176">
        <v>1221.8240000000001</v>
      </c>
      <c r="C176">
        <v>35.276800000000001</v>
      </c>
      <c r="D176">
        <v>41.513199999999998</v>
      </c>
      <c r="E176">
        <v>41.5595</v>
      </c>
      <c r="F176">
        <v>70044.641000000003</v>
      </c>
      <c r="G176">
        <v>24.436</v>
      </c>
    </row>
    <row r="177" spans="1:7" x14ac:dyDescent="0.15">
      <c r="A177" s="141" t="s">
        <v>150</v>
      </c>
      <c r="B177" s="71">
        <v>4877.4416000000001</v>
      </c>
      <c r="C177" s="71">
        <v>38.371699999999997</v>
      </c>
      <c r="D177" s="71">
        <v>44.963200000000001</v>
      </c>
      <c r="E177" s="71">
        <v>45.283200000000001</v>
      </c>
      <c r="F177" s="71">
        <v>170077.484</v>
      </c>
      <c r="G177" s="71">
        <v>16.349</v>
      </c>
    </row>
    <row r="178" spans="1:7" x14ac:dyDescent="0.15">
      <c r="A178" s="141" t="s">
        <v>151</v>
      </c>
      <c r="B178" s="71">
        <v>1696.4816000000001</v>
      </c>
      <c r="C178" s="71">
        <v>36.376600000000003</v>
      </c>
      <c r="D178" s="71">
        <v>43.778300000000002</v>
      </c>
      <c r="E178" s="71">
        <v>44.088200000000001</v>
      </c>
      <c r="F178" s="71">
        <v>87498.125</v>
      </c>
      <c r="G178" s="71">
        <v>12.141</v>
      </c>
    </row>
    <row r="179" spans="1:7" x14ac:dyDescent="0.15">
      <c r="A179" s="141" t="s">
        <v>152</v>
      </c>
      <c r="B179" s="71">
        <v>664.68320000000006</v>
      </c>
      <c r="C179" s="71">
        <v>33.9328</v>
      </c>
      <c r="D179" s="71">
        <v>42.195</v>
      </c>
      <c r="E179" s="71">
        <v>42.531700000000001</v>
      </c>
      <c r="F179" s="71">
        <v>50611.667999999998</v>
      </c>
      <c r="G179" s="71">
        <v>8.5289999999999999</v>
      </c>
    </row>
    <row r="180" spans="1:7" x14ac:dyDescent="0.15">
      <c r="A180" s="141" t="s">
        <v>153</v>
      </c>
      <c r="B180" s="71">
        <v>276.11040000000003</v>
      </c>
      <c r="C180" s="71">
        <v>30.9069</v>
      </c>
      <c r="D180" s="71">
        <v>40.854100000000003</v>
      </c>
      <c r="E180" s="71">
        <v>41.406500000000001</v>
      </c>
      <c r="F180" s="71">
        <v>30947.971000000001</v>
      </c>
      <c r="G180" s="71">
        <v>7.3319999999999999</v>
      </c>
    </row>
    <row r="181" spans="1:7" x14ac:dyDescent="0.15">
      <c r="A181" s="141" t="s">
        <v>154</v>
      </c>
      <c r="B181" s="71">
        <v>3934.0383999999999</v>
      </c>
      <c r="C181" s="71">
        <v>40.476199999999999</v>
      </c>
      <c r="D181" s="71">
        <v>45.164099999999998</v>
      </c>
      <c r="E181" s="71">
        <v>45.915999999999997</v>
      </c>
      <c r="F181" s="71">
        <v>148494.32800000001</v>
      </c>
      <c r="G181" s="71">
        <v>17.454999999999998</v>
      </c>
    </row>
    <row r="182" spans="1:7" x14ac:dyDescent="0.15">
      <c r="A182" s="141" t="s">
        <v>155</v>
      </c>
      <c r="B182" s="71">
        <v>1806.5424</v>
      </c>
      <c r="C182" s="71">
        <v>38.8521</v>
      </c>
      <c r="D182" s="71">
        <v>44.323300000000003</v>
      </c>
      <c r="E182" s="71">
        <v>44.3748</v>
      </c>
      <c r="F182" s="71">
        <v>86966.968999999997</v>
      </c>
      <c r="G182" s="71">
        <v>15.17</v>
      </c>
    </row>
    <row r="183" spans="1:7" x14ac:dyDescent="0.15">
      <c r="A183" s="141" t="s">
        <v>156</v>
      </c>
      <c r="B183" s="71">
        <v>864.57439999999997</v>
      </c>
      <c r="C183" s="71">
        <v>36.905799999999999</v>
      </c>
      <c r="D183" s="71">
        <v>43.254899999999999</v>
      </c>
      <c r="E183" s="71">
        <v>42.525700000000001</v>
      </c>
      <c r="F183" s="71">
        <v>49386.745999999999</v>
      </c>
      <c r="G183" s="71">
        <v>11.217000000000001</v>
      </c>
    </row>
    <row r="184" spans="1:7" x14ac:dyDescent="0.15">
      <c r="A184" s="141" t="s">
        <v>157</v>
      </c>
      <c r="B184" s="71">
        <v>404.94400000000002</v>
      </c>
      <c r="C184" s="71">
        <v>34.697800000000001</v>
      </c>
      <c r="D184" s="71">
        <v>42.001600000000003</v>
      </c>
      <c r="E184" s="71">
        <v>40.640999999999998</v>
      </c>
      <c r="F184" s="71">
        <v>27099.146000000001</v>
      </c>
      <c r="G184" s="71">
        <v>9.0640000000000001</v>
      </c>
    </row>
    <row r="185" spans="1:7" x14ac:dyDescent="0.15">
      <c r="A185" s="141" t="s">
        <v>158</v>
      </c>
      <c r="B185" s="71">
        <v>975.74400000000003</v>
      </c>
      <c r="C185" s="71">
        <v>42.920499999999997</v>
      </c>
      <c r="D185" s="71">
        <v>46.485100000000003</v>
      </c>
      <c r="E185" s="71">
        <v>47.266100000000002</v>
      </c>
      <c r="F185" s="71">
        <v>58213.195</v>
      </c>
      <c r="G185" s="71">
        <v>8.3149999999999995</v>
      </c>
    </row>
    <row r="186" spans="1:7" x14ac:dyDescent="0.15">
      <c r="A186" s="141" t="s">
        <v>159</v>
      </c>
      <c r="B186" s="71">
        <v>498.3184</v>
      </c>
      <c r="C186" s="71">
        <v>41.278100000000002</v>
      </c>
      <c r="D186" s="71">
        <v>45.567700000000002</v>
      </c>
      <c r="E186" s="71">
        <v>46.160800000000002</v>
      </c>
      <c r="F186" s="71">
        <v>38537.758000000002</v>
      </c>
      <c r="G186" s="71">
        <v>6.7709999999999999</v>
      </c>
    </row>
    <row r="187" spans="1:7" x14ac:dyDescent="0.15">
      <c r="A187" s="141" t="s">
        <v>160</v>
      </c>
      <c r="B187" s="71">
        <v>265.2432</v>
      </c>
      <c r="C187" s="71">
        <v>39.119199999999999</v>
      </c>
      <c r="D187" s="71">
        <v>44.237200000000001</v>
      </c>
      <c r="E187" s="71">
        <v>44.6875</v>
      </c>
      <c r="F187" s="71">
        <v>20504.73</v>
      </c>
      <c r="G187" s="71">
        <v>5.7869999999999999</v>
      </c>
    </row>
    <row r="188" spans="1:7" x14ac:dyDescent="0.15">
      <c r="A188" s="141" t="s">
        <v>161</v>
      </c>
      <c r="B188" s="71">
        <v>143.2448</v>
      </c>
      <c r="C188" s="71">
        <v>36.344200000000001</v>
      </c>
      <c r="D188" s="71">
        <v>42.581400000000002</v>
      </c>
      <c r="E188" s="71">
        <v>42.939500000000002</v>
      </c>
      <c r="F188" s="71">
        <v>12340.402</v>
      </c>
      <c r="G188" s="71">
        <v>4.9580000000000002</v>
      </c>
    </row>
    <row r="189" spans="1:7" x14ac:dyDescent="0.15">
      <c r="A189" s="141" t="s">
        <v>162</v>
      </c>
      <c r="B189" s="71">
        <v>1355.952</v>
      </c>
      <c r="C189" s="71">
        <v>42.61</v>
      </c>
      <c r="D189" s="71">
        <v>48.031399999999998</v>
      </c>
      <c r="E189" s="71">
        <v>47.457000000000001</v>
      </c>
      <c r="F189" s="71">
        <v>64444.277000000002</v>
      </c>
      <c r="G189" s="71">
        <v>9.9280000000000008</v>
      </c>
    </row>
    <row r="190" spans="1:7" x14ac:dyDescent="0.15">
      <c r="A190" s="141" t="s">
        <v>163</v>
      </c>
      <c r="B190" s="71">
        <v>666.34720000000004</v>
      </c>
      <c r="C190" s="71">
        <v>40.917200000000001</v>
      </c>
      <c r="D190" s="71">
        <v>47.233800000000002</v>
      </c>
      <c r="E190" s="71">
        <v>46.305700000000002</v>
      </c>
      <c r="F190" s="71">
        <v>37164.188000000002</v>
      </c>
      <c r="G190" s="71">
        <v>7.7910000000000004</v>
      </c>
    </row>
    <row r="191" spans="1:7" x14ac:dyDescent="0.15">
      <c r="A191" s="141" t="s">
        <v>164</v>
      </c>
      <c r="B191" s="71">
        <v>354.39519999999999</v>
      </c>
      <c r="C191" s="71">
        <v>38.618200000000002</v>
      </c>
      <c r="D191" s="71">
        <v>46.027799999999999</v>
      </c>
      <c r="E191" s="71">
        <v>44.580100000000002</v>
      </c>
      <c r="F191" s="71">
        <v>22120.940999999999</v>
      </c>
      <c r="G191" s="71">
        <v>6.2949999999999999</v>
      </c>
    </row>
    <row r="192" spans="1:7" x14ac:dyDescent="0.15">
      <c r="A192" s="141" t="s">
        <v>165</v>
      </c>
      <c r="B192" s="71">
        <v>193.21119999999999</v>
      </c>
      <c r="C192" s="71">
        <v>35.569400000000002</v>
      </c>
      <c r="D192" s="71">
        <v>44.599899999999998</v>
      </c>
      <c r="E192" s="71">
        <v>42.285400000000003</v>
      </c>
      <c r="F192" s="71">
        <v>13808.528</v>
      </c>
      <c r="G192" s="71">
        <v>5.181</v>
      </c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374</v>
      </c>
    </row>
    <row r="274" spans="1:1" x14ac:dyDescent="0.15">
      <c r="A274" s="141" t="s">
        <v>375</v>
      </c>
    </row>
    <row r="275" spans="1:1" x14ac:dyDescent="0.15">
      <c r="A275" s="141" t="s">
        <v>376</v>
      </c>
    </row>
    <row r="276" spans="1:1" x14ac:dyDescent="0.15">
      <c r="A276" s="141" t="s">
        <v>377</v>
      </c>
    </row>
    <row r="277" spans="1:1" x14ac:dyDescent="0.15">
      <c r="A277" s="141" t="s">
        <v>378</v>
      </c>
    </row>
    <row r="278" spans="1:1" x14ac:dyDescent="0.15">
      <c r="A278" s="141" t="s">
        <v>379</v>
      </c>
    </row>
    <row r="279" spans="1:1" x14ac:dyDescent="0.15">
      <c r="A279" s="141" t="s">
        <v>380</v>
      </c>
    </row>
    <row r="280" spans="1:1" x14ac:dyDescent="0.15">
      <c r="A280" s="141" t="s">
        <v>381</v>
      </c>
    </row>
    <row r="281" spans="1:1" x14ac:dyDescent="0.15">
      <c r="A281" s="141" t="s">
        <v>382</v>
      </c>
    </row>
    <row r="282" spans="1:1" x14ac:dyDescent="0.15">
      <c r="A282" s="141" t="s">
        <v>383</v>
      </c>
    </row>
    <row r="283" spans="1:1" x14ac:dyDescent="0.15">
      <c r="A283" s="141" t="s">
        <v>384</v>
      </c>
    </row>
    <row r="284" spans="1:1" x14ac:dyDescent="0.15">
      <c r="A284" s="141" t="s">
        <v>385</v>
      </c>
    </row>
    <row r="285" spans="1:1" x14ac:dyDescent="0.15">
      <c r="A285" s="141" t="s">
        <v>386</v>
      </c>
    </row>
    <row r="286" spans="1:1" x14ac:dyDescent="0.15">
      <c r="A286" s="141" t="s">
        <v>387</v>
      </c>
    </row>
    <row r="287" spans="1:1" x14ac:dyDescent="0.15">
      <c r="A287" s="141" t="s">
        <v>388</v>
      </c>
    </row>
    <row r="288" spans="1:1" x14ac:dyDescent="0.15">
      <c r="A288" s="141" t="s">
        <v>389</v>
      </c>
    </row>
  </sheetData>
  <phoneticPr fontId="9" type="noConversion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G288"/>
  <sheetViews>
    <sheetView topLeftCell="A34" zoomScaleNormal="100" workbookViewId="0">
      <selection activeCell="B74" sqref="B73:G120"/>
    </sheetView>
  </sheetViews>
  <sheetFormatPr defaultColWidth="9" defaultRowHeight="14.25" x14ac:dyDescent="0.15"/>
  <cols>
    <col min="1" max="1" width="25" bestFit="1" customWidth="1"/>
    <col min="6" max="6" width="14" customWidth="1"/>
  </cols>
  <sheetData>
    <row r="1" spans="1:1" x14ac:dyDescent="0.15">
      <c r="A1" s="141" t="s">
        <v>190</v>
      </c>
    </row>
    <row r="2" spans="1:1" x14ac:dyDescent="0.15">
      <c r="A2" s="141" t="s">
        <v>191</v>
      </c>
    </row>
    <row r="3" spans="1:1" x14ac:dyDescent="0.15">
      <c r="A3" s="141" t="s">
        <v>192</v>
      </c>
    </row>
    <row r="4" spans="1:1" x14ac:dyDescent="0.15">
      <c r="A4" s="141" t="s">
        <v>193</v>
      </c>
    </row>
    <row r="5" spans="1:1" x14ac:dyDescent="0.15">
      <c r="A5" s="141" t="s">
        <v>194</v>
      </c>
    </row>
    <row r="6" spans="1:1" x14ac:dyDescent="0.15">
      <c r="A6" s="141" t="s">
        <v>195</v>
      </c>
    </row>
    <row r="7" spans="1:1" x14ac:dyDescent="0.15">
      <c r="A7" s="141" t="s">
        <v>196</v>
      </c>
    </row>
    <row r="8" spans="1:1" x14ac:dyDescent="0.15">
      <c r="A8" s="141" t="s">
        <v>197</v>
      </c>
    </row>
    <row r="9" spans="1:1" x14ac:dyDescent="0.15">
      <c r="A9" s="141" t="s">
        <v>198</v>
      </c>
    </row>
    <row r="10" spans="1:1" x14ac:dyDescent="0.15">
      <c r="A10" s="141" t="s">
        <v>199</v>
      </c>
    </row>
    <row r="11" spans="1:1" x14ac:dyDescent="0.15">
      <c r="A11" s="141" t="s">
        <v>200</v>
      </c>
    </row>
    <row r="12" spans="1:1" x14ac:dyDescent="0.15">
      <c r="A12" s="141" t="s">
        <v>201</v>
      </c>
    </row>
    <row r="13" spans="1:1" x14ac:dyDescent="0.15">
      <c r="A13" s="141" t="s">
        <v>202</v>
      </c>
    </row>
    <row r="14" spans="1:1" x14ac:dyDescent="0.15">
      <c r="A14" s="141" t="s">
        <v>203</v>
      </c>
    </row>
    <row r="15" spans="1:1" x14ac:dyDescent="0.15">
      <c r="A15" s="141" t="s">
        <v>204</v>
      </c>
    </row>
    <row r="16" spans="1:1" x14ac:dyDescent="0.15">
      <c r="A16" s="141" t="s">
        <v>205</v>
      </c>
    </row>
    <row r="17" spans="1:1" x14ac:dyDescent="0.15">
      <c r="A17" s="141" t="s">
        <v>94</v>
      </c>
    </row>
    <row r="18" spans="1:1" x14ac:dyDescent="0.15">
      <c r="A18" s="141" t="s">
        <v>95</v>
      </c>
    </row>
    <row r="19" spans="1:1" x14ac:dyDescent="0.15">
      <c r="A19" s="141" t="s">
        <v>96</v>
      </c>
    </row>
    <row r="20" spans="1:1" x14ac:dyDescent="0.15">
      <c r="A20" s="141" t="s">
        <v>97</v>
      </c>
    </row>
    <row r="21" spans="1:1" x14ac:dyDescent="0.15">
      <c r="A21" s="141" t="s">
        <v>98</v>
      </c>
    </row>
    <row r="22" spans="1:1" x14ac:dyDescent="0.15">
      <c r="A22" s="141" t="s">
        <v>99</v>
      </c>
    </row>
    <row r="23" spans="1:1" x14ac:dyDescent="0.15">
      <c r="A23" s="141" t="s">
        <v>100</v>
      </c>
    </row>
    <row r="24" spans="1:1" x14ac:dyDescent="0.15">
      <c r="A24" s="141" t="s">
        <v>101</v>
      </c>
    </row>
    <row r="25" spans="1:1" x14ac:dyDescent="0.15">
      <c r="A25" s="141" t="s">
        <v>206</v>
      </c>
    </row>
    <row r="26" spans="1:1" x14ac:dyDescent="0.15">
      <c r="A26" s="141" t="s">
        <v>207</v>
      </c>
    </row>
    <row r="27" spans="1:1" x14ac:dyDescent="0.15">
      <c r="A27" s="141" t="s">
        <v>208</v>
      </c>
    </row>
    <row r="28" spans="1:1" x14ac:dyDescent="0.15">
      <c r="A28" s="141" t="s">
        <v>209</v>
      </c>
    </row>
    <row r="29" spans="1:1" x14ac:dyDescent="0.15">
      <c r="A29" s="141" t="s">
        <v>210</v>
      </c>
    </row>
    <row r="30" spans="1:1" x14ac:dyDescent="0.15">
      <c r="A30" s="141" t="s">
        <v>211</v>
      </c>
    </row>
    <row r="31" spans="1:1" x14ac:dyDescent="0.15">
      <c r="A31" s="141" t="s">
        <v>212</v>
      </c>
    </row>
    <row r="32" spans="1:1" x14ac:dyDescent="0.15">
      <c r="A32" s="141" t="s">
        <v>213</v>
      </c>
    </row>
    <row r="33" spans="1:1" x14ac:dyDescent="0.15">
      <c r="A33" s="141" t="s">
        <v>102</v>
      </c>
    </row>
    <row r="34" spans="1:1" x14ac:dyDescent="0.15">
      <c r="A34" s="141" t="s">
        <v>103</v>
      </c>
    </row>
    <row r="35" spans="1:1" x14ac:dyDescent="0.15">
      <c r="A35" s="141" t="s">
        <v>104</v>
      </c>
    </row>
    <row r="36" spans="1:1" x14ac:dyDescent="0.15">
      <c r="A36" s="141" t="s">
        <v>105</v>
      </c>
    </row>
    <row r="37" spans="1:1" x14ac:dyDescent="0.15">
      <c r="A37" s="141" t="s">
        <v>106</v>
      </c>
    </row>
    <row r="38" spans="1:1" x14ac:dyDescent="0.15">
      <c r="A38" s="141" t="s">
        <v>107</v>
      </c>
    </row>
    <row r="39" spans="1:1" x14ac:dyDescent="0.15">
      <c r="A39" s="141" t="s">
        <v>108</v>
      </c>
    </row>
    <row r="40" spans="1:1" x14ac:dyDescent="0.15">
      <c r="A40" s="141" t="s">
        <v>109</v>
      </c>
    </row>
    <row r="41" spans="1:1" x14ac:dyDescent="0.15">
      <c r="A41" s="141" t="s">
        <v>110</v>
      </c>
    </row>
    <row r="42" spans="1:1" x14ac:dyDescent="0.15">
      <c r="A42" s="141" t="s">
        <v>111</v>
      </c>
    </row>
    <row r="43" spans="1:1" x14ac:dyDescent="0.15">
      <c r="A43" s="141" t="s">
        <v>112</v>
      </c>
    </row>
    <row r="44" spans="1:1" x14ac:dyDescent="0.15">
      <c r="A44" s="141" t="s">
        <v>113</v>
      </c>
    </row>
    <row r="45" spans="1:1" x14ac:dyDescent="0.15">
      <c r="A45" s="141" t="s">
        <v>114</v>
      </c>
    </row>
    <row r="46" spans="1:1" x14ac:dyDescent="0.15">
      <c r="A46" s="141" t="s">
        <v>115</v>
      </c>
    </row>
    <row r="47" spans="1:1" x14ac:dyDescent="0.15">
      <c r="A47" s="141" t="s">
        <v>116</v>
      </c>
    </row>
    <row r="48" spans="1:1" x14ac:dyDescent="0.15">
      <c r="A48" s="141" t="s">
        <v>117</v>
      </c>
    </row>
    <row r="49" spans="1:1" x14ac:dyDescent="0.15">
      <c r="A49" s="141" t="s">
        <v>214</v>
      </c>
    </row>
    <row r="50" spans="1:1" x14ac:dyDescent="0.15">
      <c r="A50" s="141" t="s">
        <v>215</v>
      </c>
    </row>
    <row r="51" spans="1:1" x14ac:dyDescent="0.15">
      <c r="A51" s="141" t="s">
        <v>216</v>
      </c>
    </row>
    <row r="52" spans="1:1" x14ac:dyDescent="0.15">
      <c r="A52" s="141" t="s">
        <v>217</v>
      </c>
    </row>
    <row r="53" spans="1:1" x14ac:dyDescent="0.15">
      <c r="A53" s="141" t="s">
        <v>218</v>
      </c>
    </row>
    <row r="54" spans="1:1" x14ac:dyDescent="0.15">
      <c r="A54" s="141" t="s">
        <v>219</v>
      </c>
    </row>
    <row r="55" spans="1:1" x14ac:dyDescent="0.15">
      <c r="A55" s="141" t="s">
        <v>220</v>
      </c>
    </row>
    <row r="56" spans="1:1" x14ac:dyDescent="0.15">
      <c r="A56" s="141" t="s">
        <v>221</v>
      </c>
    </row>
    <row r="57" spans="1:1" x14ac:dyDescent="0.15">
      <c r="A57" s="141" t="s">
        <v>318</v>
      </c>
    </row>
    <row r="58" spans="1:1" x14ac:dyDescent="0.15">
      <c r="A58" s="141" t="s">
        <v>319</v>
      </c>
    </row>
    <row r="59" spans="1:1" x14ac:dyDescent="0.15">
      <c r="A59" s="141" t="s">
        <v>320</v>
      </c>
    </row>
    <row r="60" spans="1:1" x14ac:dyDescent="0.15">
      <c r="A60" s="141" t="s">
        <v>321</v>
      </c>
    </row>
    <row r="61" spans="1:1" x14ac:dyDescent="0.15">
      <c r="A61" s="141" t="s">
        <v>322</v>
      </c>
    </row>
    <row r="62" spans="1:1" x14ac:dyDescent="0.15">
      <c r="A62" s="141" t="s">
        <v>323</v>
      </c>
    </row>
    <row r="63" spans="1:1" x14ac:dyDescent="0.15">
      <c r="A63" s="141" t="s">
        <v>324</v>
      </c>
    </row>
    <row r="64" spans="1:1" x14ac:dyDescent="0.15">
      <c r="A64" s="141" t="s">
        <v>325</v>
      </c>
    </row>
    <row r="65" spans="1:7" x14ac:dyDescent="0.15">
      <c r="A65" s="141" t="s">
        <v>326</v>
      </c>
    </row>
    <row r="66" spans="1:7" x14ac:dyDescent="0.15">
      <c r="A66" s="141" t="s">
        <v>327</v>
      </c>
    </row>
    <row r="67" spans="1:7" x14ac:dyDescent="0.15">
      <c r="A67" s="141" t="s">
        <v>328</v>
      </c>
    </row>
    <row r="68" spans="1:7" x14ac:dyDescent="0.15">
      <c r="A68" s="141" t="s">
        <v>329</v>
      </c>
    </row>
    <row r="69" spans="1:7" x14ac:dyDescent="0.15">
      <c r="A69" s="141" t="s">
        <v>330</v>
      </c>
    </row>
    <row r="70" spans="1:7" x14ac:dyDescent="0.15">
      <c r="A70" s="141" t="s">
        <v>331</v>
      </c>
    </row>
    <row r="71" spans="1:7" x14ac:dyDescent="0.15">
      <c r="A71" s="141" t="s">
        <v>332</v>
      </c>
    </row>
    <row r="72" spans="1:7" x14ac:dyDescent="0.15">
      <c r="A72" s="141" t="s">
        <v>333</v>
      </c>
    </row>
    <row r="73" spans="1:7" x14ac:dyDescent="0.15">
      <c r="A73" s="141" t="s">
        <v>222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</row>
    <row r="74" spans="1:7" x14ac:dyDescent="0.15">
      <c r="A74" s="141" t="s">
        <v>223</v>
      </c>
      <c r="B74">
        <v>0</v>
      </c>
      <c r="C74">
        <v>0</v>
      </c>
      <c r="D74">
        <v>0</v>
      </c>
      <c r="E74">
        <v>0</v>
      </c>
      <c r="F74">
        <v>0</v>
      </c>
      <c r="G74">
        <v>0</v>
      </c>
    </row>
    <row r="75" spans="1:7" x14ac:dyDescent="0.15">
      <c r="A75" s="141" t="s">
        <v>224</v>
      </c>
      <c r="B75">
        <v>3688.6959999999999</v>
      </c>
      <c r="C75">
        <v>38.720799999999997</v>
      </c>
      <c r="D75">
        <v>47.317599999999999</v>
      </c>
      <c r="E75">
        <v>44.735399999999998</v>
      </c>
      <c r="F75">
        <v>94668.489000000001</v>
      </c>
      <c r="G75">
        <v>54.91</v>
      </c>
    </row>
    <row r="76" spans="1:7" x14ac:dyDescent="0.15">
      <c r="A76" s="141" t="s">
        <v>225</v>
      </c>
      <c r="B76">
        <v>1944.4680000000001</v>
      </c>
      <c r="C76">
        <v>37.2072</v>
      </c>
      <c r="D76">
        <v>46.0914</v>
      </c>
      <c r="E76">
        <v>43.0809</v>
      </c>
      <c r="F76">
        <v>47440.087</v>
      </c>
      <c r="G76">
        <v>50.664000000000001</v>
      </c>
    </row>
    <row r="77" spans="1:7" x14ac:dyDescent="0.15">
      <c r="A77" s="141" t="s">
        <v>226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</row>
    <row r="78" spans="1:7" x14ac:dyDescent="0.15">
      <c r="A78" s="141" t="s">
        <v>227</v>
      </c>
      <c r="B78">
        <v>0</v>
      </c>
      <c r="C78">
        <v>0</v>
      </c>
      <c r="D78">
        <v>0</v>
      </c>
      <c r="E78">
        <v>0</v>
      </c>
      <c r="F78">
        <v>0</v>
      </c>
      <c r="G78">
        <v>0</v>
      </c>
    </row>
    <row r="79" spans="1:7" x14ac:dyDescent="0.15">
      <c r="A79" s="141" t="s">
        <v>228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</row>
    <row r="80" spans="1:7" x14ac:dyDescent="0.15">
      <c r="A80" s="141" t="s">
        <v>229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</row>
    <row r="81" spans="1:7" x14ac:dyDescent="0.15">
      <c r="A81" s="141" t="s">
        <v>230</v>
      </c>
      <c r="B81">
        <v>0</v>
      </c>
      <c r="C81">
        <v>0</v>
      </c>
      <c r="D81">
        <v>0</v>
      </c>
      <c r="E81">
        <v>0</v>
      </c>
      <c r="F81">
        <v>0</v>
      </c>
      <c r="G81">
        <v>0</v>
      </c>
    </row>
    <row r="82" spans="1:7" x14ac:dyDescent="0.15">
      <c r="A82" s="141" t="s">
        <v>231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</row>
    <row r="83" spans="1:7" x14ac:dyDescent="0.15">
      <c r="A83" s="141" t="s">
        <v>232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</row>
    <row r="84" spans="1:7" x14ac:dyDescent="0.15">
      <c r="A84" s="141" t="s">
        <v>233</v>
      </c>
      <c r="B84">
        <v>4755.6400000000003</v>
      </c>
      <c r="C84">
        <v>33.9602</v>
      </c>
      <c r="D84">
        <v>33.770899999999997</v>
      </c>
      <c r="E84">
        <v>37.251100000000001</v>
      </c>
      <c r="F84">
        <v>75277.841</v>
      </c>
      <c r="G84">
        <v>28.048999999999999</v>
      </c>
    </row>
    <row r="85" spans="1:7" x14ac:dyDescent="0.15">
      <c r="A85" s="141" t="s">
        <v>234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</row>
    <row r="86" spans="1:7" x14ac:dyDescent="0.15">
      <c r="A86" s="141" t="s">
        <v>235</v>
      </c>
      <c r="B86">
        <v>0</v>
      </c>
      <c r="C86">
        <v>0</v>
      </c>
      <c r="D86">
        <v>0</v>
      </c>
      <c r="E86">
        <v>0</v>
      </c>
      <c r="F86">
        <v>0</v>
      </c>
      <c r="G86">
        <v>0</v>
      </c>
    </row>
    <row r="87" spans="1:7" x14ac:dyDescent="0.15">
      <c r="A87" s="141" t="s">
        <v>236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</row>
    <row r="88" spans="1:7" x14ac:dyDescent="0.15">
      <c r="A88" s="141" t="s">
        <v>237</v>
      </c>
      <c r="B88">
        <v>2197.5160000000001</v>
      </c>
      <c r="C88">
        <v>34.709499999999998</v>
      </c>
      <c r="D88">
        <v>42.3048</v>
      </c>
      <c r="E88">
        <v>39.847099999999998</v>
      </c>
      <c r="F88">
        <v>65783.839000000007</v>
      </c>
      <c r="G88">
        <v>42.670999999999999</v>
      </c>
    </row>
    <row r="89" spans="1:7" x14ac:dyDescent="0.15">
      <c r="A89" s="141" t="s">
        <v>118</v>
      </c>
      <c r="B89">
        <v>10049.459999999999</v>
      </c>
      <c r="C89">
        <v>37.982100000000003</v>
      </c>
      <c r="D89">
        <v>39.7196</v>
      </c>
      <c r="E89">
        <v>43.086100000000002</v>
      </c>
      <c r="F89">
        <v>111757.291</v>
      </c>
      <c r="G89">
        <v>14.157999999999999</v>
      </c>
    </row>
    <row r="90" spans="1:7" x14ac:dyDescent="0.15">
      <c r="A90" s="141" t="s">
        <v>119</v>
      </c>
      <c r="B90">
        <v>4716.0119999999997</v>
      </c>
      <c r="C90">
        <v>36.882899999999999</v>
      </c>
      <c r="D90">
        <v>39.188499999999998</v>
      </c>
      <c r="E90">
        <v>41.976900000000001</v>
      </c>
      <c r="F90">
        <v>65951.407000000007</v>
      </c>
      <c r="G90">
        <v>11.694000000000001</v>
      </c>
    </row>
    <row r="91" spans="1:7" x14ac:dyDescent="0.15">
      <c r="A91" s="141" t="s">
        <v>120</v>
      </c>
      <c r="B91">
        <v>2395.3679999999999</v>
      </c>
      <c r="C91">
        <v>35.298000000000002</v>
      </c>
      <c r="D91">
        <v>38.473300000000002</v>
      </c>
      <c r="E91">
        <v>40.611199999999997</v>
      </c>
      <c r="F91">
        <v>38329.716999999997</v>
      </c>
      <c r="G91">
        <v>10.587</v>
      </c>
    </row>
    <row r="92" spans="1:7" x14ac:dyDescent="0.15">
      <c r="A92" s="141" t="s">
        <v>121</v>
      </c>
      <c r="B92">
        <v>1118.848</v>
      </c>
      <c r="C92">
        <v>33.0503</v>
      </c>
      <c r="D92">
        <v>37.386899999999997</v>
      </c>
      <c r="E92">
        <v>38.915300000000002</v>
      </c>
      <c r="F92">
        <v>20444.757000000001</v>
      </c>
      <c r="G92">
        <v>9.3420000000000005</v>
      </c>
    </row>
    <row r="93" spans="1:7" x14ac:dyDescent="0.15">
      <c r="A93" s="141" t="s">
        <v>122</v>
      </c>
      <c r="B93">
        <v>0</v>
      </c>
      <c r="C93">
        <v>0</v>
      </c>
      <c r="D93">
        <v>0</v>
      </c>
      <c r="E93">
        <v>0</v>
      </c>
      <c r="F93">
        <v>0</v>
      </c>
      <c r="G93">
        <v>0</v>
      </c>
    </row>
    <row r="94" spans="1:7" x14ac:dyDescent="0.15">
      <c r="A94" s="141" t="s">
        <v>123</v>
      </c>
      <c r="B94">
        <v>4372.5479999999998</v>
      </c>
      <c r="C94">
        <v>37.8598</v>
      </c>
      <c r="D94">
        <v>43.104599999999998</v>
      </c>
      <c r="E94">
        <v>43.617800000000003</v>
      </c>
      <c r="F94">
        <v>69496.45</v>
      </c>
      <c r="G94">
        <v>13.853999999999999</v>
      </c>
    </row>
    <row r="95" spans="1:7" x14ac:dyDescent="0.15">
      <c r="A95" s="141" t="s">
        <v>124</v>
      </c>
      <c r="B95">
        <v>2229.4119999999998</v>
      </c>
      <c r="C95">
        <v>36.365299999999998</v>
      </c>
      <c r="D95">
        <v>42.003799999999998</v>
      </c>
      <c r="E95">
        <v>41.985700000000001</v>
      </c>
      <c r="F95">
        <v>38962.159</v>
      </c>
      <c r="G95">
        <v>12.518000000000001</v>
      </c>
    </row>
    <row r="96" spans="1:7" x14ac:dyDescent="0.15">
      <c r="A96" s="141" t="s">
        <v>125</v>
      </c>
      <c r="B96">
        <v>1095.6679999999999</v>
      </c>
      <c r="C96">
        <v>34.297600000000003</v>
      </c>
      <c r="D96">
        <v>40.647199999999998</v>
      </c>
      <c r="E96">
        <v>40.146999999999998</v>
      </c>
      <c r="F96">
        <v>21286.767</v>
      </c>
      <c r="G96">
        <v>10.266</v>
      </c>
    </row>
    <row r="97" spans="1:7" x14ac:dyDescent="0.15">
      <c r="A97" s="141" t="s">
        <v>238</v>
      </c>
      <c r="B97">
        <v>6881.7</v>
      </c>
      <c r="C97">
        <v>39.660400000000003</v>
      </c>
      <c r="D97">
        <v>43.660600000000002</v>
      </c>
      <c r="E97">
        <v>44.869</v>
      </c>
      <c r="F97">
        <v>103510.992</v>
      </c>
      <c r="G97">
        <v>15.819000000000001</v>
      </c>
    </row>
    <row r="98" spans="1:7" x14ac:dyDescent="0.15">
      <c r="A98" s="141" t="s">
        <v>239</v>
      </c>
      <c r="B98">
        <v>3234.924</v>
      </c>
      <c r="C98">
        <v>38.463799999999999</v>
      </c>
      <c r="D98">
        <v>42.893599999999999</v>
      </c>
      <c r="E98">
        <v>44.1813</v>
      </c>
      <c r="F98">
        <v>62742.358999999997</v>
      </c>
      <c r="G98">
        <v>14.090999999999999</v>
      </c>
    </row>
    <row r="99" spans="1:7" x14ac:dyDescent="0.15">
      <c r="A99" s="141" t="s">
        <v>240</v>
      </c>
      <c r="B99">
        <v>1538.796</v>
      </c>
      <c r="C99">
        <v>36.760100000000001</v>
      </c>
      <c r="D99">
        <v>41.898099999999999</v>
      </c>
      <c r="E99">
        <v>43.176499999999997</v>
      </c>
      <c r="F99">
        <v>33639.252999999997</v>
      </c>
      <c r="G99">
        <v>12.840999999999999</v>
      </c>
    </row>
    <row r="100" spans="1:7" x14ac:dyDescent="0.15">
      <c r="A100" s="141" t="s">
        <v>241</v>
      </c>
      <c r="B100">
        <v>688.43200000000002</v>
      </c>
      <c r="C100">
        <v>34.535200000000003</v>
      </c>
      <c r="D100">
        <v>40.619599999999998</v>
      </c>
      <c r="E100">
        <v>41.830500000000001</v>
      </c>
      <c r="F100">
        <v>17060.939999999999</v>
      </c>
      <c r="G100">
        <v>10.79</v>
      </c>
    </row>
    <row r="101" spans="1:7" x14ac:dyDescent="0.15">
      <c r="A101" s="141" t="s">
        <v>242</v>
      </c>
      <c r="B101">
        <v>5760.1279999999997</v>
      </c>
      <c r="C101">
        <v>44.8337</v>
      </c>
      <c r="D101">
        <v>47.1982</v>
      </c>
      <c r="E101">
        <v>48.170200000000001</v>
      </c>
      <c r="F101">
        <v>77728.748000000007</v>
      </c>
      <c r="G101">
        <v>16.202999999999999</v>
      </c>
    </row>
    <row r="102" spans="1:7" x14ac:dyDescent="0.15">
      <c r="A102" s="141" t="s">
        <v>243</v>
      </c>
      <c r="B102">
        <v>3528.9960000000001</v>
      </c>
      <c r="C102">
        <v>42.592500000000001</v>
      </c>
      <c r="D102">
        <v>45.655900000000003</v>
      </c>
      <c r="E102">
        <v>46.431699999999999</v>
      </c>
      <c r="F102">
        <v>53062.51</v>
      </c>
      <c r="G102">
        <v>14.621</v>
      </c>
    </row>
    <row r="103" spans="1:7" x14ac:dyDescent="0.15">
      <c r="A103" s="141" t="s">
        <v>244</v>
      </c>
      <c r="B103">
        <v>1962.212</v>
      </c>
      <c r="C103">
        <v>39.784999999999997</v>
      </c>
      <c r="D103">
        <v>44.004800000000003</v>
      </c>
      <c r="E103">
        <v>44.559800000000003</v>
      </c>
      <c r="F103">
        <v>33772.542000000001</v>
      </c>
      <c r="G103">
        <v>12.891999999999999</v>
      </c>
    </row>
    <row r="104" spans="1:7" x14ac:dyDescent="0.15">
      <c r="A104" s="141" t="s">
        <v>245</v>
      </c>
      <c r="B104">
        <v>995.24800000000005</v>
      </c>
      <c r="C104">
        <v>36.605400000000003</v>
      </c>
      <c r="D104">
        <v>42.357500000000002</v>
      </c>
      <c r="E104">
        <v>42.671399999999998</v>
      </c>
      <c r="F104">
        <v>19333.82</v>
      </c>
      <c r="G104">
        <v>10.968999999999999</v>
      </c>
    </row>
    <row r="105" spans="1:7" x14ac:dyDescent="0.15">
      <c r="A105" s="141" t="s">
        <v>126</v>
      </c>
      <c r="B105">
        <v>4192.76</v>
      </c>
      <c r="C105">
        <v>38.5488</v>
      </c>
      <c r="D105">
        <v>45.8249</v>
      </c>
      <c r="E105">
        <v>46.024500000000003</v>
      </c>
      <c r="F105">
        <v>51038.959000000003</v>
      </c>
      <c r="G105">
        <v>6.7949999999999999</v>
      </c>
    </row>
    <row r="106" spans="1:7" x14ac:dyDescent="0.15">
      <c r="A106" s="141" t="s">
        <v>127</v>
      </c>
      <c r="B106">
        <v>1770.2360000000001</v>
      </c>
      <c r="C106">
        <v>36.945</v>
      </c>
      <c r="D106">
        <v>44.648299999999999</v>
      </c>
      <c r="E106">
        <v>44.827599999999997</v>
      </c>
      <c r="F106">
        <v>27543.671999999999</v>
      </c>
      <c r="G106">
        <v>5.3410000000000002</v>
      </c>
    </row>
    <row r="107" spans="1:7" x14ac:dyDescent="0.15">
      <c r="A107" s="141" t="s">
        <v>128</v>
      </c>
      <c r="B107">
        <v>815.12</v>
      </c>
      <c r="C107">
        <v>34.945599999999999</v>
      </c>
      <c r="D107">
        <v>43.138300000000001</v>
      </c>
      <c r="E107">
        <v>43.424300000000002</v>
      </c>
      <c r="F107">
        <v>15178.697</v>
      </c>
      <c r="G107">
        <v>5.0730000000000004</v>
      </c>
    </row>
    <row r="108" spans="1:7" x14ac:dyDescent="0.15">
      <c r="A108" s="141" t="s">
        <v>129</v>
      </c>
      <c r="B108">
        <v>391.72</v>
      </c>
      <c r="C108">
        <v>32.339799999999997</v>
      </c>
      <c r="D108">
        <v>41.212899999999998</v>
      </c>
      <c r="E108">
        <v>41.753999999999998</v>
      </c>
      <c r="F108">
        <v>7801.2020000000002</v>
      </c>
      <c r="G108">
        <v>4.0060000000000002</v>
      </c>
    </row>
    <row r="109" spans="1:7" x14ac:dyDescent="0.15">
      <c r="A109" s="141" t="s">
        <v>130</v>
      </c>
      <c r="B109">
        <v>2478.3719999999998</v>
      </c>
      <c r="C109">
        <v>40.599200000000003</v>
      </c>
      <c r="D109">
        <v>46.092799999999997</v>
      </c>
      <c r="E109">
        <v>47.175600000000003</v>
      </c>
      <c r="F109">
        <v>39725.481</v>
      </c>
      <c r="G109">
        <v>6.8209999999999997</v>
      </c>
    </row>
    <row r="110" spans="1:7" x14ac:dyDescent="0.15">
      <c r="A110" s="141" t="s">
        <v>131</v>
      </c>
      <c r="B110">
        <v>1135.0160000000001</v>
      </c>
      <c r="C110">
        <v>39.490099999999998</v>
      </c>
      <c r="D110">
        <v>45.5182</v>
      </c>
      <c r="E110">
        <v>45.938200000000002</v>
      </c>
      <c r="F110">
        <v>21597.958999999999</v>
      </c>
      <c r="G110">
        <v>5.9530000000000003</v>
      </c>
    </row>
    <row r="111" spans="1:7" x14ac:dyDescent="0.15">
      <c r="A111" s="141" t="s">
        <v>132</v>
      </c>
      <c r="B111">
        <v>533.87199999999996</v>
      </c>
      <c r="C111">
        <v>37.923699999999997</v>
      </c>
      <c r="D111">
        <v>44.6965</v>
      </c>
      <c r="E111">
        <v>44.284300000000002</v>
      </c>
      <c r="F111">
        <v>11318.174000000001</v>
      </c>
      <c r="G111">
        <v>5.149</v>
      </c>
    </row>
    <row r="112" spans="1:7" x14ac:dyDescent="0.15">
      <c r="A112" s="141" t="s">
        <v>133</v>
      </c>
      <c r="B112">
        <v>242.38399999999999</v>
      </c>
      <c r="C112">
        <v>35.822800000000001</v>
      </c>
      <c r="D112">
        <v>43.556399999999996</v>
      </c>
      <c r="E112">
        <v>42.437399999999997</v>
      </c>
      <c r="F112">
        <v>5682.2719999999999</v>
      </c>
      <c r="G112">
        <v>4.4169999999999998</v>
      </c>
    </row>
    <row r="113" spans="1:7" x14ac:dyDescent="0.15">
      <c r="A113" s="141" t="s">
        <v>134</v>
      </c>
      <c r="B113">
        <v>945.16399999999999</v>
      </c>
      <c r="C113">
        <v>43.478999999999999</v>
      </c>
      <c r="D113">
        <v>47.100299999999997</v>
      </c>
      <c r="E113">
        <v>48.100499999999997</v>
      </c>
      <c r="F113">
        <v>17742.572</v>
      </c>
      <c r="G113">
        <v>4.7679999999999998</v>
      </c>
    </row>
    <row r="114" spans="1:7" x14ac:dyDescent="0.15">
      <c r="A114" s="141" t="s">
        <v>135</v>
      </c>
      <c r="B114">
        <v>515.13599999999997</v>
      </c>
      <c r="C114">
        <v>42.211799999999997</v>
      </c>
      <c r="D114">
        <v>46.287399999999998</v>
      </c>
      <c r="E114">
        <v>47.100200000000001</v>
      </c>
      <c r="F114">
        <v>10175.359</v>
      </c>
      <c r="G114">
        <v>4.585</v>
      </c>
    </row>
    <row r="115" spans="1:7" x14ac:dyDescent="0.15">
      <c r="A115" s="141" t="s">
        <v>136</v>
      </c>
      <c r="B115">
        <v>294.80399999999997</v>
      </c>
      <c r="C115">
        <v>40.440600000000003</v>
      </c>
      <c r="D115">
        <v>45.259</v>
      </c>
      <c r="E115">
        <v>45.7851</v>
      </c>
      <c r="F115">
        <v>5586.2650000000003</v>
      </c>
      <c r="G115">
        <v>4.2880000000000003</v>
      </c>
    </row>
    <row r="116" spans="1:7" x14ac:dyDescent="0.15">
      <c r="A116" s="141" t="s">
        <v>137</v>
      </c>
      <c r="B116">
        <v>164.08</v>
      </c>
      <c r="C116">
        <v>37.877299999999998</v>
      </c>
      <c r="D116">
        <v>43.420499999999997</v>
      </c>
      <c r="E116">
        <v>43.831699999999998</v>
      </c>
      <c r="F116">
        <v>3232.78</v>
      </c>
      <c r="G116">
        <v>4.1180000000000003</v>
      </c>
    </row>
    <row r="117" spans="1:7" x14ac:dyDescent="0.15">
      <c r="A117" s="141" t="s">
        <v>138</v>
      </c>
      <c r="B117">
        <v>1338.5239999999999</v>
      </c>
      <c r="C117">
        <v>42.856999999999999</v>
      </c>
      <c r="D117">
        <v>48.640900000000002</v>
      </c>
      <c r="E117">
        <v>48.448</v>
      </c>
      <c r="F117">
        <v>20559.782999999999</v>
      </c>
      <c r="G117">
        <v>4.8479999999999999</v>
      </c>
    </row>
    <row r="118" spans="1:7" x14ac:dyDescent="0.15">
      <c r="A118" s="141" t="s">
        <v>139</v>
      </c>
      <c r="B118">
        <v>722.00400000000002</v>
      </c>
      <c r="C118">
        <v>41.578000000000003</v>
      </c>
      <c r="D118">
        <v>47.773699999999998</v>
      </c>
      <c r="E118">
        <v>47.318899999999999</v>
      </c>
      <c r="F118">
        <v>11628.666999999999</v>
      </c>
      <c r="G118">
        <v>4.4800000000000004</v>
      </c>
    </row>
    <row r="119" spans="1:7" x14ac:dyDescent="0.15">
      <c r="A119" s="141" t="s">
        <v>140</v>
      </c>
      <c r="B119">
        <v>406.72399999999999</v>
      </c>
      <c r="C119">
        <v>39.695399999999999</v>
      </c>
      <c r="D119">
        <v>46.687100000000001</v>
      </c>
      <c r="E119">
        <v>45.746200000000002</v>
      </c>
      <c r="F119">
        <v>6698.509</v>
      </c>
      <c r="G119">
        <v>4.3019999999999996</v>
      </c>
    </row>
    <row r="120" spans="1:7" x14ac:dyDescent="0.15">
      <c r="A120" s="141" t="s">
        <v>141</v>
      </c>
      <c r="B120">
        <v>223.12799999999999</v>
      </c>
      <c r="C120">
        <v>36.939700000000002</v>
      </c>
      <c r="D120">
        <v>45.195900000000002</v>
      </c>
      <c r="E120">
        <v>43.4422</v>
      </c>
      <c r="F120">
        <v>3963.739</v>
      </c>
      <c r="G120">
        <v>4.2309999999999999</v>
      </c>
    </row>
    <row r="121" spans="1:7" x14ac:dyDescent="0.15">
      <c r="A121" s="141" t="s">
        <v>246</v>
      </c>
    </row>
    <row r="122" spans="1:7" x14ac:dyDescent="0.15">
      <c r="A122" s="141" t="s">
        <v>247</v>
      </c>
    </row>
    <row r="123" spans="1:7" x14ac:dyDescent="0.15">
      <c r="A123" s="141" t="s">
        <v>248</v>
      </c>
    </row>
    <row r="124" spans="1:7" x14ac:dyDescent="0.15">
      <c r="A124" s="141" t="s">
        <v>249</v>
      </c>
    </row>
    <row r="125" spans="1:7" x14ac:dyDescent="0.15">
      <c r="A125" s="141" t="s">
        <v>250</v>
      </c>
    </row>
    <row r="126" spans="1:7" x14ac:dyDescent="0.15">
      <c r="A126" s="141" t="s">
        <v>251</v>
      </c>
    </row>
    <row r="127" spans="1:7" x14ac:dyDescent="0.15">
      <c r="A127" s="141" t="s">
        <v>252</v>
      </c>
    </row>
    <row r="128" spans="1:7" x14ac:dyDescent="0.15">
      <c r="A128" s="141" t="s">
        <v>253</v>
      </c>
    </row>
    <row r="129" spans="1:1" x14ac:dyDescent="0.15">
      <c r="A129" s="141" t="s">
        <v>334</v>
      </c>
    </row>
    <row r="130" spans="1:1" x14ac:dyDescent="0.15">
      <c r="A130" s="141" t="s">
        <v>335</v>
      </c>
    </row>
    <row r="131" spans="1:1" x14ac:dyDescent="0.15">
      <c r="A131" s="141" t="s">
        <v>336</v>
      </c>
    </row>
    <row r="132" spans="1:1" x14ac:dyDescent="0.15">
      <c r="A132" s="141" t="s">
        <v>337</v>
      </c>
    </row>
    <row r="133" spans="1:1" x14ac:dyDescent="0.15">
      <c r="A133" s="141" t="s">
        <v>338</v>
      </c>
    </row>
    <row r="134" spans="1:1" x14ac:dyDescent="0.15">
      <c r="A134" s="141" t="s">
        <v>339</v>
      </c>
    </row>
    <row r="135" spans="1:1" x14ac:dyDescent="0.15">
      <c r="A135" s="141" t="s">
        <v>340</v>
      </c>
    </row>
    <row r="136" spans="1:1" x14ac:dyDescent="0.15">
      <c r="A136" s="141" t="s">
        <v>341</v>
      </c>
    </row>
    <row r="137" spans="1:1" x14ac:dyDescent="0.15">
      <c r="A137" s="141" t="s">
        <v>342</v>
      </c>
    </row>
    <row r="138" spans="1:1" x14ac:dyDescent="0.15">
      <c r="A138" s="141" t="s">
        <v>343</v>
      </c>
    </row>
    <row r="139" spans="1:1" x14ac:dyDescent="0.15">
      <c r="A139" s="141" t="s">
        <v>344</v>
      </c>
    </row>
    <row r="140" spans="1:1" x14ac:dyDescent="0.15">
      <c r="A140" s="141" t="s">
        <v>345</v>
      </c>
    </row>
    <row r="141" spans="1:1" x14ac:dyDescent="0.15">
      <c r="A141" s="141" t="s">
        <v>346</v>
      </c>
    </row>
    <row r="142" spans="1:1" x14ac:dyDescent="0.15">
      <c r="A142" s="141" t="s">
        <v>347</v>
      </c>
    </row>
    <row r="143" spans="1:1" x14ac:dyDescent="0.15">
      <c r="A143" s="141" t="s">
        <v>348</v>
      </c>
    </row>
    <row r="144" spans="1:1" x14ac:dyDescent="0.15">
      <c r="A144" s="141" t="s">
        <v>349</v>
      </c>
    </row>
    <row r="145" spans="1:1" x14ac:dyDescent="0.15">
      <c r="A145" s="141" t="s">
        <v>254</v>
      </c>
    </row>
    <row r="146" spans="1:1" x14ac:dyDescent="0.15">
      <c r="A146" s="141" t="s">
        <v>255</v>
      </c>
    </row>
    <row r="147" spans="1:1" x14ac:dyDescent="0.15">
      <c r="A147" s="141" t="s">
        <v>256</v>
      </c>
    </row>
    <row r="148" spans="1:1" x14ac:dyDescent="0.15">
      <c r="A148" s="141" t="s">
        <v>257</v>
      </c>
    </row>
    <row r="149" spans="1:1" x14ac:dyDescent="0.15">
      <c r="A149" s="141" t="s">
        <v>258</v>
      </c>
    </row>
    <row r="150" spans="1:1" x14ac:dyDescent="0.15">
      <c r="A150" s="141" t="s">
        <v>259</v>
      </c>
    </row>
    <row r="151" spans="1:1" x14ac:dyDescent="0.15">
      <c r="A151" s="141" t="s">
        <v>260</v>
      </c>
    </row>
    <row r="152" spans="1:1" x14ac:dyDescent="0.15">
      <c r="A152" s="141" t="s">
        <v>261</v>
      </c>
    </row>
    <row r="153" spans="1:1" x14ac:dyDescent="0.15">
      <c r="A153" s="141" t="s">
        <v>262</v>
      </c>
    </row>
    <row r="154" spans="1:1" x14ac:dyDescent="0.15">
      <c r="A154" s="141" t="s">
        <v>263</v>
      </c>
    </row>
    <row r="155" spans="1:1" x14ac:dyDescent="0.15">
      <c r="A155" s="141" t="s">
        <v>264</v>
      </c>
    </row>
    <row r="156" spans="1:1" x14ac:dyDescent="0.15">
      <c r="A156" s="141" t="s">
        <v>265</v>
      </c>
    </row>
    <row r="157" spans="1:1" x14ac:dyDescent="0.15">
      <c r="A157" s="141" t="s">
        <v>266</v>
      </c>
    </row>
    <row r="158" spans="1:1" x14ac:dyDescent="0.15">
      <c r="A158" s="141" t="s">
        <v>267</v>
      </c>
    </row>
    <row r="159" spans="1:1" x14ac:dyDescent="0.15">
      <c r="A159" s="141" t="s">
        <v>268</v>
      </c>
    </row>
    <row r="160" spans="1:1" x14ac:dyDescent="0.15">
      <c r="A160" s="141" t="s">
        <v>269</v>
      </c>
    </row>
    <row r="161" spans="1:1" x14ac:dyDescent="0.15">
      <c r="A161" s="141" t="s">
        <v>142</v>
      </c>
    </row>
    <row r="162" spans="1:1" x14ac:dyDescent="0.15">
      <c r="A162" s="141" t="s">
        <v>143</v>
      </c>
    </row>
    <row r="163" spans="1:1" x14ac:dyDescent="0.15">
      <c r="A163" s="141" t="s">
        <v>144</v>
      </c>
    </row>
    <row r="164" spans="1:1" x14ac:dyDescent="0.15">
      <c r="A164" s="141" t="s">
        <v>145</v>
      </c>
    </row>
    <row r="165" spans="1:1" x14ac:dyDescent="0.15">
      <c r="A165" s="141" t="s">
        <v>146</v>
      </c>
    </row>
    <row r="166" spans="1:1" x14ac:dyDescent="0.15">
      <c r="A166" s="141" t="s">
        <v>147</v>
      </c>
    </row>
    <row r="167" spans="1:1" x14ac:dyDescent="0.15">
      <c r="A167" s="141" t="s">
        <v>148</v>
      </c>
    </row>
    <row r="168" spans="1:1" x14ac:dyDescent="0.15">
      <c r="A168" s="141" t="s">
        <v>149</v>
      </c>
    </row>
    <row r="169" spans="1:1" x14ac:dyDescent="0.15">
      <c r="A169" s="141" t="s">
        <v>270</v>
      </c>
    </row>
    <row r="170" spans="1:1" x14ac:dyDescent="0.15">
      <c r="A170" s="141" t="s">
        <v>271</v>
      </c>
    </row>
    <row r="171" spans="1:1" x14ac:dyDescent="0.15">
      <c r="A171" s="141" t="s">
        <v>272</v>
      </c>
    </row>
    <row r="172" spans="1:1" x14ac:dyDescent="0.15">
      <c r="A172" s="141" t="s">
        <v>273</v>
      </c>
    </row>
    <row r="173" spans="1:1" x14ac:dyDescent="0.15">
      <c r="A173" s="141" t="s">
        <v>274</v>
      </c>
    </row>
    <row r="174" spans="1:1" x14ac:dyDescent="0.15">
      <c r="A174" s="141" t="s">
        <v>275</v>
      </c>
    </row>
    <row r="175" spans="1:1" x14ac:dyDescent="0.15">
      <c r="A175" s="141" t="s">
        <v>276</v>
      </c>
    </row>
    <row r="176" spans="1:1" x14ac:dyDescent="0.15">
      <c r="A176" s="141" t="s">
        <v>277</v>
      </c>
    </row>
    <row r="177" spans="1:7" x14ac:dyDescent="0.15">
      <c r="A177" s="141" t="s">
        <v>150</v>
      </c>
      <c r="B177" s="71"/>
      <c r="C177" s="71"/>
      <c r="D177" s="71"/>
      <c r="E177" s="71"/>
      <c r="F177" s="71"/>
      <c r="G177" s="71"/>
    </row>
    <row r="178" spans="1:7" x14ac:dyDescent="0.15">
      <c r="A178" s="141" t="s">
        <v>151</v>
      </c>
      <c r="B178" s="71"/>
      <c r="C178" s="71"/>
      <c r="D178" s="71"/>
      <c r="E178" s="71"/>
      <c r="F178" s="71"/>
      <c r="G178" s="71"/>
    </row>
    <row r="179" spans="1:7" x14ac:dyDescent="0.15">
      <c r="A179" s="141" t="s">
        <v>152</v>
      </c>
      <c r="B179" s="71"/>
      <c r="C179" s="71"/>
      <c r="D179" s="71"/>
      <c r="E179" s="71"/>
      <c r="F179" s="71"/>
      <c r="G179" s="71"/>
    </row>
    <row r="180" spans="1:7" x14ac:dyDescent="0.15">
      <c r="A180" s="141" t="s">
        <v>153</v>
      </c>
      <c r="B180" s="71"/>
      <c r="C180" s="71"/>
      <c r="D180" s="71"/>
      <c r="E180" s="71"/>
      <c r="F180" s="71"/>
      <c r="G180" s="71"/>
    </row>
    <row r="181" spans="1:7" x14ac:dyDescent="0.15">
      <c r="A181" s="141" t="s">
        <v>154</v>
      </c>
      <c r="B181" s="71"/>
      <c r="C181" s="71"/>
      <c r="D181" s="71"/>
      <c r="E181" s="71"/>
      <c r="F181" s="71"/>
      <c r="G181" s="71"/>
    </row>
    <row r="182" spans="1:7" x14ac:dyDescent="0.15">
      <c r="A182" s="141" t="s">
        <v>155</v>
      </c>
      <c r="B182" s="71"/>
      <c r="C182" s="71"/>
      <c r="D182" s="71"/>
      <c r="E182" s="71"/>
      <c r="F182" s="71"/>
      <c r="G182" s="71"/>
    </row>
    <row r="183" spans="1:7" x14ac:dyDescent="0.15">
      <c r="A183" s="141" t="s">
        <v>156</v>
      </c>
      <c r="B183" s="71"/>
      <c r="C183" s="71"/>
      <c r="D183" s="71"/>
      <c r="E183" s="71"/>
      <c r="F183" s="71"/>
      <c r="G183" s="71"/>
    </row>
    <row r="184" spans="1:7" x14ac:dyDescent="0.15">
      <c r="A184" s="141" t="s">
        <v>157</v>
      </c>
      <c r="B184" s="71"/>
      <c r="C184" s="71"/>
      <c r="D184" s="71"/>
      <c r="E184" s="71"/>
      <c r="F184" s="71"/>
      <c r="G184" s="71"/>
    </row>
    <row r="185" spans="1:7" x14ac:dyDescent="0.15">
      <c r="A185" s="141" t="s">
        <v>158</v>
      </c>
      <c r="B185" s="71"/>
      <c r="C185" s="71"/>
      <c r="D185" s="71"/>
      <c r="E185" s="71"/>
      <c r="F185" s="71"/>
      <c r="G185" s="71"/>
    </row>
    <row r="186" spans="1:7" x14ac:dyDescent="0.15">
      <c r="A186" s="141" t="s">
        <v>159</v>
      </c>
      <c r="B186" s="71"/>
      <c r="C186" s="71"/>
      <c r="D186" s="71"/>
      <c r="E186" s="71"/>
      <c r="F186" s="71"/>
      <c r="G186" s="71"/>
    </row>
    <row r="187" spans="1:7" x14ac:dyDescent="0.15">
      <c r="A187" s="141" t="s">
        <v>160</v>
      </c>
      <c r="B187" s="71"/>
      <c r="C187" s="71"/>
      <c r="D187" s="71"/>
      <c r="E187" s="71"/>
      <c r="F187" s="71"/>
      <c r="G187" s="71"/>
    </row>
    <row r="188" spans="1:7" x14ac:dyDescent="0.15">
      <c r="A188" s="141" t="s">
        <v>161</v>
      </c>
      <c r="B188" s="71"/>
      <c r="C188" s="71"/>
      <c r="D188" s="71"/>
      <c r="E188" s="71"/>
      <c r="F188" s="71"/>
      <c r="G188" s="71"/>
    </row>
    <row r="189" spans="1:7" x14ac:dyDescent="0.15">
      <c r="A189" s="141" t="s">
        <v>162</v>
      </c>
      <c r="B189" s="71"/>
      <c r="C189" s="71"/>
      <c r="D189" s="71"/>
      <c r="E189" s="71"/>
      <c r="F189" s="71"/>
      <c r="G189" s="71"/>
    </row>
    <row r="190" spans="1:7" x14ac:dyDescent="0.15">
      <c r="A190" s="141" t="s">
        <v>163</v>
      </c>
      <c r="B190" s="71"/>
      <c r="C190" s="71"/>
      <c r="D190" s="71"/>
      <c r="E190" s="71"/>
      <c r="F190" s="71"/>
      <c r="G190" s="71"/>
    </row>
    <row r="191" spans="1:7" x14ac:dyDescent="0.15">
      <c r="A191" s="141" t="s">
        <v>164</v>
      </c>
      <c r="B191" s="71"/>
      <c r="C191" s="71"/>
      <c r="D191" s="71"/>
      <c r="E191" s="71"/>
      <c r="F191" s="71"/>
      <c r="G191" s="71"/>
    </row>
    <row r="192" spans="1:7" x14ac:dyDescent="0.15">
      <c r="A192" s="141" t="s">
        <v>165</v>
      </c>
      <c r="B192" s="71"/>
      <c r="C192" s="71"/>
      <c r="D192" s="71"/>
      <c r="E192" s="71"/>
      <c r="F192" s="71"/>
      <c r="G192" s="71"/>
    </row>
    <row r="193" spans="1:7" x14ac:dyDescent="0.15">
      <c r="A193" s="141" t="s">
        <v>278</v>
      </c>
      <c r="B193" s="71"/>
      <c r="C193" s="71"/>
      <c r="D193" s="71"/>
      <c r="E193" s="71"/>
      <c r="F193" s="71"/>
      <c r="G193" s="71"/>
    </row>
    <row r="194" spans="1:7" x14ac:dyDescent="0.15">
      <c r="A194" s="141" t="s">
        <v>279</v>
      </c>
      <c r="B194" s="71"/>
      <c r="C194" s="71"/>
      <c r="D194" s="71"/>
      <c r="E194" s="71"/>
      <c r="F194" s="71"/>
      <c r="G194" s="71"/>
    </row>
    <row r="195" spans="1:7" x14ac:dyDescent="0.15">
      <c r="A195" s="141" t="s">
        <v>280</v>
      </c>
      <c r="B195" s="71"/>
      <c r="C195" s="71"/>
      <c r="D195" s="71"/>
      <c r="E195" s="71"/>
      <c r="F195" s="71"/>
      <c r="G195" s="71"/>
    </row>
    <row r="196" spans="1:7" x14ac:dyDescent="0.15">
      <c r="A196" s="141" t="s">
        <v>281</v>
      </c>
      <c r="B196" s="71"/>
      <c r="C196" s="71"/>
      <c r="D196" s="71"/>
      <c r="E196" s="71"/>
      <c r="F196" s="71"/>
      <c r="G196" s="71"/>
    </row>
    <row r="197" spans="1:7" x14ac:dyDescent="0.15">
      <c r="A197" s="141" t="s">
        <v>282</v>
      </c>
      <c r="B197" s="71"/>
      <c r="C197" s="71"/>
      <c r="D197" s="71"/>
      <c r="E197" s="71"/>
      <c r="F197" s="71"/>
      <c r="G197" s="71"/>
    </row>
    <row r="198" spans="1:7" x14ac:dyDescent="0.15">
      <c r="A198" s="141" t="s">
        <v>283</v>
      </c>
      <c r="B198" s="71"/>
      <c r="C198" s="71"/>
      <c r="D198" s="71"/>
      <c r="E198" s="71"/>
      <c r="F198" s="71"/>
      <c r="G198" s="71"/>
    </row>
    <row r="199" spans="1:7" x14ac:dyDescent="0.15">
      <c r="A199" s="141" t="s">
        <v>284</v>
      </c>
      <c r="B199" s="71"/>
      <c r="C199" s="71"/>
      <c r="D199" s="71"/>
      <c r="E199" s="71"/>
      <c r="F199" s="71"/>
      <c r="G199" s="71"/>
    </row>
    <row r="200" spans="1:7" x14ac:dyDescent="0.15">
      <c r="A200" s="141" t="s">
        <v>285</v>
      </c>
      <c r="B200" s="71"/>
      <c r="C200" s="71"/>
      <c r="D200" s="71"/>
      <c r="E200" s="71"/>
      <c r="F200" s="71"/>
      <c r="G200" s="71"/>
    </row>
    <row r="201" spans="1:7" x14ac:dyDescent="0.15">
      <c r="A201" s="141" t="s">
        <v>350</v>
      </c>
      <c r="B201" s="71"/>
      <c r="C201" s="71"/>
      <c r="D201" s="71"/>
      <c r="E201" s="71"/>
      <c r="F201" s="71"/>
      <c r="G201" s="71"/>
    </row>
    <row r="202" spans="1:7" x14ac:dyDescent="0.15">
      <c r="A202" s="141" t="s">
        <v>351</v>
      </c>
      <c r="B202" s="71"/>
      <c r="C202" s="71"/>
      <c r="D202" s="71"/>
      <c r="E202" s="71"/>
      <c r="F202" s="71"/>
      <c r="G202" s="71"/>
    </row>
    <row r="203" spans="1:7" x14ac:dyDescent="0.15">
      <c r="A203" s="141" t="s">
        <v>352</v>
      </c>
      <c r="B203" s="71"/>
      <c r="C203" s="71"/>
      <c r="D203" s="71"/>
      <c r="E203" s="71"/>
      <c r="F203" s="71"/>
      <c r="G203" s="71"/>
    </row>
    <row r="204" spans="1:7" x14ac:dyDescent="0.15">
      <c r="A204" s="141" t="s">
        <v>353</v>
      </c>
      <c r="B204" s="71"/>
      <c r="C204" s="71"/>
      <c r="D204" s="71"/>
      <c r="E204" s="71"/>
      <c r="F204" s="71"/>
      <c r="G204" s="71"/>
    </row>
    <row r="205" spans="1:7" x14ac:dyDescent="0.15">
      <c r="A205" s="141" t="s">
        <v>354</v>
      </c>
      <c r="B205" s="71"/>
      <c r="C205" s="71"/>
      <c r="D205" s="71"/>
      <c r="E205" s="71"/>
      <c r="F205" s="71"/>
      <c r="G205" s="71"/>
    </row>
    <row r="206" spans="1:7" x14ac:dyDescent="0.15">
      <c r="A206" s="141" t="s">
        <v>355</v>
      </c>
      <c r="B206" s="71"/>
      <c r="C206" s="71"/>
      <c r="D206" s="71"/>
      <c r="E206" s="71"/>
      <c r="F206" s="71"/>
      <c r="G206" s="71"/>
    </row>
    <row r="207" spans="1:7" x14ac:dyDescent="0.15">
      <c r="A207" s="141" t="s">
        <v>356</v>
      </c>
      <c r="B207" s="71"/>
      <c r="C207" s="71"/>
      <c r="D207" s="71"/>
      <c r="E207" s="71"/>
      <c r="F207" s="71"/>
      <c r="G207" s="71"/>
    </row>
    <row r="208" spans="1:7" x14ac:dyDescent="0.15">
      <c r="A208" s="141" t="s">
        <v>357</v>
      </c>
      <c r="B208" s="71"/>
      <c r="C208" s="71"/>
      <c r="D208" s="71"/>
      <c r="E208" s="71"/>
      <c r="F208" s="71"/>
      <c r="G208" s="71"/>
    </row>
    <row r="209" spans="1:7" x14ac:dyDescent="0.15">
      <c r="A209" s="141" t="s">
        <v>358</v>
      </c>
      <c r="B209" s="71"/>
      <c r="C209" s="71"/>
      <c r="D209" s="71"/>
      <c r="E209" s="71"/>
      <c r="F209" s="71"/>
      <c r="G209" s="71"/>
    </row>
    <row r="210" spans="1:7" x14ac:dyDescent="0.15">
      <c r="A210" s="141" t="s">
        <v>359</v>
      </c>
      <c r="B210" s="71"/>
      <c r="C210" s="71"/>
      <c r="D210" s="71"/>
      <c r="E210" s="71"/>
      <c r="F210" s="71"/>
      <c r="G210" s="71"/>
    </row>
    <row r="211" spans="1:7" x14ac:dyDescent="0.15">
      <c r="A211" s="141" t="s">
        <v>360</v>
      </c>
      <c r="B211" s="71"/>
      <c r="C211" s="71"/>
      <c r="D211" s="71"/>
      <c r="E211" s="71"/>
      <c r="F211" s="71"/>
      <c r="G211" s="71"/>
    </row>
    <row r="212" spans="1:7" x14ac:dyDescent="0.15">
      <c r="A212" s="141" t="s">
        <v>361</v>
      </c>
      <c r="B212" s="71"/>
      <c r="C212" s="71"/>
      <c r="D212" s="71"/>
      <c r="E212" s="71"/>
      <c r="F212" s="71"/>
      <c r="G212" s="71"/>
    </row>
    <row r="213" spans="1:7" x14ac:dyDescent="0.15">
      <c r="A213" s="141" t="s">
        <v>362</v>
      </c>
      <c r="B213" s="71"/>
      <c r="C213" s="71"/>
      <c r="D213" s="71"/>
      <c r="E213" s="71"/>
      <c r="F213" s="71"/>
      <c r="G213" s="71"/>
    </row>
    <row r="214" spans="1:7" x14ac:dyDescent="0.15">
      <c r="A214" s="141" t="s">
        <v>363</v>
      </c>
      <c r="B214" s="71"/>
      <c r="C214" s="71"/>
      <c r="D214" s="71"/>
      <c r="E214" s="71"/>
      <c r="F214" s="71"/>
      <c r="G214" s="71"/>
    </row>
    <row r="215" spans="1:7" x14ac:dyDescent="0.15">
      <c r="A215" s="141" t="s">
        <v>364</v>
      </c>
      <c r="B215" s="71"/>
      <c r="C215" s="71"/>
      <c r="D215" s="71"/>
      <c r="E215" s="71"/>
      <c r="F215" s="71"/>
      <c r="G215" s="71"/>
    </row>
    <row r="216" spans="1:7" x14ac:dyDescent="0.15">
      <c r="A216" s="141" t="s">
        <v>365</v>
      </c>
      <c r="B216" s="71"/>
      <c r="C216" s="71"/>
      <c r="D216" s="71"/>
      <c r="E216" s="71"/>
      <c r="F216" s="71"/>
      <c r="G216" s="71"/>
    </row>
    <row r="217" spans="1:7" x14ac:dyDescent="0.15">
      <c r="A217" s="141" t="s">
        <v>286</v>
      </c>
      <c r="B217" s="71"/>
      <c r="C217" s="71"/>
      <c r="D217" s="71"/>
      <c r="E217" s="71"/>
      <c r="F217" s="71"/>
      <c r="G217" s="71"/>
    </row>
    <row r="218" spans="1:7" x14ac:dyDescent="0.15">
      <c r="A218" s="141" t="s">
        <v>287</v>
      </c>
      <c r="B218" s="71"/>
      <c r="C218" s="71"/>
      <c r="D218" s="71"/>
      <c r="E218" s="71"/>
      <c r="F218" s="71"/>
      <c r="G218" s="71"/>
    </row>
    <row r="219" spans="1:7" x14ac:dyDescent="0.15">
      <c r="A219" s="141" t="s">
        <v>288</v>
      </c>
      <c r="B219" s="71"/>
      <c r="C219" s="71"/>
      <c r="D219" s="71"/>
      <c r="E219" s="71"/>
      <c r="F219" s="71"/>
      <c r="G219" s="71"/>
    </row>
    <row r="220" spans="1:7" x14ac:dyDescent="0.15">
      <c r="A220" s="141" t="s">
        <v>289</v>
      </c>
      <c r="B220" s="71"/>
      <c r="C220" s="71"/>
      <c r="D220" s="71"/>
      <c r="E220" s="71"/>
      <c r="F220" s="71"/>
      <c r="G220" s="71"/>
    </row>
    <row r="221" spans="1:7" x14ac:dyDescent="0.15">
      <c r="A221" s="141" t="s">
        <v>290</v>
      </c>
      <c r="B221" s="71"/>
      <c r="C221" s="71"/>
      <c r="D221" s="71"/>
      <c r="E221" s="71"/>
      <c r="F221" s="71"/>
      <c r="G221" s="71"/>
    </row>
    <row r="222" spans="1:7" x14ac:dyDescent="0.15">
      <c r="A222" s="141" t="s">
        <v>291</v>
      </c>
      <c r="B222" s="71"/>
      <c r="C222" s="71"/>
      <c r="D222" s="71"/>
      <c r="E222" s="71"/>
      <c r="F222" s="71"/>
      <c r="G222" s="71"/>
    </row>
    <row r="223" spans="1:7" x14ac:dyDescent="0.15">
      <c r="A223" s="141" t="s">
        <v>292</v>
      </c>
      <c r="B223" s="71"/>
      <c r="C223" s="71"/>
      <c r="D223" s="71"/>
      <c r="E223" s="71"/>
      <c r="F223" s="71"/>
      <c r="G223" s="71"/>
    </row>
    <row r="224" spans="1:7" x14ac:dyDescent="0.15">
      <c r="A224" s="141" t="s">
        <v>293</v>
      </c>
      <c r="B224" s="71"/>
      <c r="C224" s="71"/>
      <c r="D224" s="71"/>
      <c r="E224" s="71"/>
      <c r="F224" s="71"/>
      <c r="G224" s="71"/>
    </row>
    <row r="225" spans="1:7" x14ac:dyDescent="0.15">
      <c r="A225" s="141" t="s">
        <v>294</v>
      </c>
      <c r="B225" s="71"/>
      <c r="C225" s="71"/>
      <c r="D225" s="71"/>
      <c r="E225" s="71"/>
      <c r="F225" s="71"/>
      <c r="G225" s="71"/>
    </row>
    <row r="226" spans="1:7" x14ac:dyDescent="0.15">
      <c r="A226" s="141" t="s">
        <v>295</v>
      </c>
      <c r="B226" s="71"/>
      <c r="C226" s="71"/>
      <c r="D226" s="71"/>
      <c r="E226" s="71"/>
      <c r="F226" s="71"/>
      <c r="G226" s="71"/>
    </row>
    <row r="227" spans="1:7" x14ac:dyDescent="0.15">
      <c r="A227" s="141" t="s">
        <v>296</v>
      </c>
      <c r="B227" s="71"/>
      <c r="C227" s="71"/>
      <c r="D227" s="71"/>
      <c r="E227" s="71"/>
      <c r="F227" s="71"/>
      <c r="G227" s="71"/>
    </row>
    <row r="228" spans="1:7" x14ac:dyDescent="0.15">
      <c r="A228" s="141" t="s">
        <v>297</v>
      </c>
      <c r="B228" s="71"/>
      <c r="C228" s="71"/>
      <c r="D228" s="71"/>
      <c r="E228" s="71"/>
      <c r="F228" s="71"/>
      <c r="G228" s="71"/>
    </row>
    <row r="229" spans="1:7" x14ac:dyDescent="0.15">
      <c r="A229" s="141" t="s">
        <v>298</v>
      </c>
      <c r="B229" s="71"/>
      <c r="C229" s="71"/>
      <c r="D229" s="71"/>
      <c r="E229" s="71"/>
      <c r="F229" s="71"/>
      <c r="G229" s="71"/>
    </row>
    <row r="230" spans="1:7" x14ac:dyDescent="0.15">
      <c r="A230" s="141" t="s">
        <v>299</v>
      </c>
      <c r="B230" s="71"/>
      <c r="C230" s="71"/>
      <c r="D230" s="71"/>
      <c r="E230" s="71"/>
      <c r="F230" s="71"/>
      <c r="G230" s="71"/>
    </row>
    <row r="231" spans="1:7" x14ac:dyDescent="0.15">
      <c r="A231" s="141" t="s">
        <v>300</v>
      </c>
      <c r="B231" s="71"/>
      <c r="C231" s="71"/>
      <c r="D231" s="71"/>
      <c r="E231" s="71"/>
      <c r="F231" s="71"/>
      <c r="G231" s="71"/>
    </row>
    <row r="232" spans="1:7" x14ac:dyDescent="0.15">
      <c r="A232" s="141" t="s">
        <v>301</v>
      </c>
      <c r="B232" s="71"/>
      <c r="C232" s="71"/>
      <c r="D232" s="71"/>
      <c r="E232" s="71"/>
      <c r="F232" s="71"/>
      <c r="G232" s="71"/>
    </row>
    <row r="233" spans="1:7" x14ac:dyDescent="0.15">
      <c r="A233" s="141" t="s">
        <v>166</v>
      </c>
      <c r="B233" s="71"/>
      <c r="C233" s="71"/>
      <c r="D233" s="71"/>
      <c r="E233" s="71"/>
      <c r="F233" s="71"/>
      <c r="G233" s="71"/>
    </row>
    <row r="234" spans="1:7" x14ac:dyDescent="0.15">
      <c r="A234" s="141" t="s">
        <v>167</v>
      </c>
      <c r="B234" s="71"/>
      <c r="C234" s="71"/>
      <c r="D234" s="71"/>
      <c r="E234" s="71"/>
      <c r="F234" s="71"/>
      <c r="G234" s="71"/>
    </row>
    <row r="235" spans="1:7" x14ac:dyDescent="0.15">
      <c r="A235" s="141" t="s">
        <v>168</v>
      </c>
      <c r="B235" s="71"/>
      <c r="C235" s="71"/>
      <c r="D235" s="71"/>
      <c r="E235" s="71"/>
      <c r="F235" s="71"/>
      <c r="G235" s="71"/>
    </row>
    <row r="236" spans="1:7" x14ac:dyDescent="0.15">
      <c r="A236" s="141" t="s">
        <v>169</v>
      </c>
      <c r="B236" s="71"/>
      <c r="C236" s="71"/>
      <c r="D236" s="71"/>
      <c r="E236" s="71"/>
      <c r="F236" s="71"/>
      <c r="G236" s="71"/>
    </row>
    <row r="237" spans="1:7" x14ac:dyDescent="0.15">
      <c r="A237" s="141" t="s">
        <v>170</v>
      </c>
      <c r="B237" s="71"/>
      <c r="C237" s="71"/>
      <c r="D237" s="71"/>
      <c r="E237" s="71"/>
      <c r="F237" s="71"/>
      <c r="G237" s="71"/>
    </row>
    <row r="238" spans="1:7" x14ac:dyDescent="0.15">
      <c r="A238" s="141" t="s">
        <v>171</v>
      </c>
      <c r="B238" s="71"/>
      <c r="C238" s="71"/>
      <c r="D238" s="71"/>
      <c r="E238" s="71"/>
      <c r="F238" s="71"/>
      <c r="G238" s="71"/>
    </row>
    <row r="239" spans="1:7" x14ac:dyDescent="0.15">
      <c r="A239" s="141" t="s">
        <v>172</v>
      </c>
      <c r="B239" s="71"/>
      <c r="C239" s="71"/>
      <c r="D239" s="71"/>
      <c r="E239" s="71"/>
      <c r="F239" s="71"/>
      <c r="G239" s="71"/>
    </row>
    <row r="240" spans="1:7" x14ac:dyDescent="0.15">
      <c r="A240" s="141" t="s">
        <v>173</v>
      </c>
      <c r="B240" s="71"/>
      <c r="C240" s="71"/>
      <c r="D240" s="71"/>
      <c r="E240" s="71"/>
      <c r="F240" s="71"/>
      <c r="G240" s="71"/>
    </row>
    <row r="241" spans="1:7" x14ac:dyDescent="0.15">
      <c r="A241" s="141" t="s">
        <v>302</v>
      </c>
      <c r="B241" s="71"/>
      <c r="C241" s="71"/>
      <c r="D241" s="71"/>
      <c r="E241" s="71"/>
      <c r="F241" s="71"/>
      <c r="G241" s="71"/>
    </row>
    <row r="242" spans="1:7" x14ac:dyDescent="0.15">
      <c r="A242" s="141" t="s">
        <v>303</v>
      </c>
      <c r="B242" s="71"/>
      <c r="C242" s="71"/>
      <c r="D242" s="71"/>
      <c r="E242" s="71"/>
      <c r="F242" s="71"/>
      <c r="G242" s="71"/>
    </row>
    <row r="243" spans="1:7" x14ac:dyDescent="0.15">
      <c r="A243" s="141" t="s">
        <v>304</v>
      </c>
      <c r="B243" s="71"/>
      <c r="C243" s="71"/>
      <c r="D243" s="71"/>
      <c r="E243" s="71"/>
      <c r="F243" s="71"/>
      <c r="G243" s="71"/>
    </row>
    <row r="244" spans="1:7" x14ac:dyDescent="0.15">
      <c r="A244" s="141" t="s">
        <v>305</v>
      </c>
      <c r="B244" s="71"/>
      <c r="C244" s="71"/>
      <c r="D244" s="71"/>
      <c r="E244" s="71"/>
      <c r="F244" s="71"/>
      <c r="G244" s="71"/>
    </row>
    <row r="245" spans="1:7" x14ac:dyDescent="0.15">
      <c r="A245" s="141" t="s">
        <v>306</v>
      </c>
      <c r="B245" s="71"/>
      <c r="C245" s="71"/>
      <c r="D245" s="71"/>
      <c r="E245" s="71"/>
      <c r="F245" s="71"/>
      <c r="G245" s="71"/>
    </row>
    <row r="246" spans="1:7" x14ac:dyDescent="0.15">
      <c r="A246" s="141" t="s">
        <v>307</v>
      </c>
      <c r="B246" s="71"/>
      <c r="C246" s="71"/>
      <c r="D246" s="71"/>
      <c r="E246" s="71"/>
      <c r="F246" s="71"/>
      <c r="G246" s="71"/>
    </row>
    <row r="247" spans="1:7" x14ac:dyDescent="0.15">
      <c r="A247" s="141" t="s">
        <v>308</v>
      </c>
      <c r="B247" s="71"/>
      <c r="C247" s="71"/>
      <c r="D247" s="71"/>
      <c r="E247" s="71"/>
      <c r="F247" s="71"/>
      <c r="G247" s="71"/>
    </row>
    <row r="248" spans="1:7" x14ac:dyDescent="0.15">
      <c r="A248" s="141" t="s">
        <v>309</v>
      </c>
      <c r="B248" s="71"/>
      <c r="C248" s="71"/>
      <c r="D248" s="71"/>
      <c r="E248" s="71"/>
      <c r="F248" s="71"/>
      <c r="G248" s="71"/>
    </row>
    <row r="249" spans="1:7" x14ac:dyDescent="0.15">
      <c r="A249" s="141" t="s">
        <v>174</v>
      </c>
      <c r="B249" s="71"/>
      <c r="C249" s="71"/>
      <c r="D249" s="71"/>
      <c r="E249" s="71"/>
      <c r="F249" s="71"/>
      <c r="G249" s="71"/>
    </row>
    <row r="250" spans="1:7" x14ac:dyDescent="0.15">
      <c r="A250" s="141" t="s">
        <v>175</v>
      </c>
      <c r="B250" s="71"/>
      <c r="C250" s="71"/>
      <c r="D250" s="71"/>
      <c r="E250" s="71"/>
      <c r="F250" s="71"/>
      <c r="G250" s="71"/>
    </row>
    <row r="251" spans="1:7" x14ac:dyDescent="0.15">
      <c r="A251" s="141" t="s">
        <v>176</v>
      </c>
      <c r="B251" s="71"/>
      <c r="C251" s="71"/>
      <c r="D251" s="71"/>
      <c r="E251" s="71"/>
      <c r="F251" s="71"/>
      <c r="G251" s="71"/>
    </row>
    <row r="252" spans="1:7" x14ac:dyDescent="0.15">
      <c r="A252" s="141" t="s">
        <v>177</v>
      </c>
      <c r="B252" s="71"/>
      <c r="C252" s="71"/>
      <c r="D252" s="71"/>
      <c r="E252" s="71"/>
      <c r="F252" s="71"/>
      <c r="G252" s="71"/>
    </row>
    <row r="253" spans="1:7" x14ac:dyDescent="0.15">
      <c r="A253" s="141" t="s">
        <v>178</v>
      </c>
      <c r="B253" s="71"/>
      <c r="C253" s="71"/>
      <c r="D253" s="71"/>
      <c r="E253" s="71"/>
      <c r="F253" s="71"/>
      <c r="G253" s="71"/>
    </row>
    <row r="254" spans="1:7" x14ac:dyDescent="0.15">
      <c r="A254" s="141" t="s">
        <v>179</v>
      </c>
      <c r="B254" s="71"/>
      <c r="C254" s="71"/>
      <c r="D254" s="71"/>
      <c r="E254" s="71"/>
      <c r="F254" s="71"/>
      <c r="G254" s="71"/>
    </row>
    <row r="255" spans="1:7" x14ac:dyDescent="0.15">
      <c r="A255" s="141" t="s">
        <v>180</v>
      </c>
      <c r="B255" s="71"/>
      <c r="C255" s="71"/>
      <c r="D255" s="71"/>
      <c r="E255" s="71"/>
      <c r="F255" s="71"/>
      <c r="G255" s="71"/>
    </row>
    <row r="256" spans="1:7" x14ac:dyDescent="0.15">
      <c r="A256" s="141" t="s">
        <v>181</v>
      </c>
      <c r="B256" s="71"/>
      <c r="C256" s="71"/>
      <c r="D256" s="71"/>
      <c r="E256" s="71"/>
      <c r="F256" s="71"/>
      <c r="G256" s="71"/>
    </row>
    <row r="257" spans="1:7" x14ac:dyDescent="0.15">
      <c r="A257" s="141" t="s">
        <v>182</v>
      </c>
      <c r="B257" s="71"/>
      <c r="C257" s="71"/>
      <c r="D257" s="71"/>
      <c r="E257" s="71"/>
      <c r="F257" s="71"/>
      <c r="G257" s="71"/>
    </row>
    <row r="258" spans="1:7" x14ac:dyDescent="0.15">
      <c r="A258" s="141" t="s">
        <v>183</v>
      </c>
      <c r="B258" s="71"/>
      <c r="C258" s="71"/>
      <c r="D258" s="71"/>
      <c r="E258" s="71"/>
      <c r="F258" s="71"/>
      <c r="G258" s="71"/>
    </row>
    <row r="259" spans="1:7" x14ac:dyDescent="0.15">
      <c r="A259" s="141" t="s">
        <v>184</v>
      </c>
      <c r="B259" s="71"/>
      <c r="C259" s="71"/>
      <c r="D259" s="71"/>
      <c r="E259" s="71"/>
      <c r="F259" s="71"/>
      <c r="G259" s="71"/>
    </row>
    <row r="260" spans="1:7" x14ac:dyDescent="0.15">
      <c r="A260" s="141" t="s">
        <v>185</v>
      </c>
      <c r="B260" s="71"/>
      <c r="C260" s="71"/>
      <c r="D260" s="71"/>
      <c r="E260" s="71"/>
      <c r="F260" s="71"/>
      <c r="G260" s="71"/>
    </row>
    <row r="261" spans="1:7" x14ac:dyDescent="0.15">
      <c r="A261" s="141" t="s">
        <v>186</v>
      </c>
      <c r="B261" s="71"/>
      <c r="C261" s="71"/>
      <c r="D261" s="71"/>
      <c r="E261" s="71"/>
      <c r="F261" s="71"/>
      <c r="G261" s="71"/>
    </row>
    <row r="262" spans="1:7" x14ac:dyDescent="0.15">
      <c r="A262" s="141" t="s">
        <v>187</v>
      </c>
      <c r="B262" s="71"/>
      <c r="C262" s="71"/>
      <c r="D262" s="71"/>
      <c r="E262" s="71"/>
      <c r="F262" s="71"/>
      <c r="G262" s="71"/>
    </row>
    <row r="263" spans="1:7" x14ac:dyDescent="0.15">
      <c r="A263" s="141" t="s">
        <v>188</v>
      </c>
      <c r="B263" s="71"/>
      <c r="C263" s="71"/>
      <c r="D263" s="71"/>
      <c r="E263" s="71"/>
      <c r="F263" s="71"/>
      <c r="G263" s="71"/>
    </row>
    <row r="264" spans="1:7" x14ac:dyDescent="0.15">
      <c r="A264" s="141" t="s">
        <v>189</v>
      </c>
      <c r="B264" s="71"/>
      <c r="C264" s="71"/>
      <c r="D264" s="71"/>
      <c r="E264" s="71"/>
      <c r="F264" s="71"/>
      <c r="G264" s="71"/>
    </row>
    <row r="265" spans="1:7" x14ac:dyDescent="0.15">
      <c r="A265" s="141" t="s">
        <v>310</v>
      </c>
    </row>
    <row r="266" spans="1:7" x14ac:dyDescent="0.15">
      <c r="A266" s="141" t="s">
        <v>311</v>
      </c>
    </row>
    <row r="267" spans="1:7" x14ac:dyDescent="0.15">
      <c r="A267" s="141" t="s">
        <v>312</v>
      </c>
    </row>
    <row r="268" spans="1:7" x14ac:dyDescent="0.15">
      <c r="A268" s="141" t="s">
        <v>313</v>
      </c>
    </row>
    <row r="269" spans="1:7" x14ac:dyDescent="0.15">
      <c r="A269" s="141" t="s">
        <v>314</v>
      </c>
    </row>
    <row r="270" spans="1:7" x14ac:dyDescent="0.15">
      <c r="A270" s="141" t="s">
        <v>315</v>
      </c>
    </row>
    <row r="271" spans="1:7" x14ac:dyDescent="0.15">
      <c r="A271" s="141" t="s">
        <v>316</v>
      </c>
    </row>
    <row r="272" spans="1:7" x14ac:dyDescent="0.15">
      <c r="A272" s="141" t="s">
        <v>317</v>
      </c>
    </row>
    <row r="273" spans="1:1" x14ac:dyDescent="0.15">
      <c r="A273" s="141" t="s">
        <v>390</v>
      </c>
    </row>
    <row r="274" spans="1:1" x14ac:dyDescent="0.15">
      <c r="A274" s="141" t="s">
        <v>391</v>
      </c>
    </row>
    <row r="275" spans="1:1" x14ac:dyDescent="0.15">
      <c r="A275" s="141" t="s">
        <v>392</v>
      </c>
    </row>
    <row r="276" spans="1:1" x14ac:dyDescent="0.15">
      <c r="A276" s="141" t="s">
        <v>393</v>
      </c>
    </row>
    <row r="277" spans="1:1" x14ac:dyDescent="0.15">
      <c r="A277" s="141" t="s">
        <v>394</v>
      </c>
    </row>
    <row r="278" spans="1:1" x14ac:dyDescent="0.15">
      <c r="A278" s="141" t="s">
        <v>395</v>
      </c>
    </row>
    <row r="279" spans="1:1" x14ac:dyDescent="0.15">
      <c r="A279" s="141" t="s">
        <v>396</v>
      </c>
    </row>
    <row r="280" spans="1:1" x14ac:dyDescent="0.15">
      <c r="A280" s="141" t="s">
        <v>397</v>
      </c>
    </row>
    <row r="281" spans="1:1" x14ac:dyDescent="0.15">
      <c r="A281" s="141" t="s">
        <v>398</v>
      </c>
    </row>
    <row r="282" spans="1:1" x14ac:dyDescent="0.15">
      <c r="A282" s="141" t="s">
        <v>399</v>
      </c>
    </row>
    <row r="283" spans="1:1" x14ac:dyDescent="0.15">
      <c r="A283" s="141" t="s">
        <v>400</v>
      </c>
    </row>
    <row r="284" spans="1:1" x14ac:dyDescent="0.15">
      <c r="A284" s="141" t="s">
        <v>401</v>
      </c>
    </row>
    <row r="285" spans="1:1" x14ac:dyDescent="0.15">
      <c r="A285" s="141" t="s">
        <v>402</v>
      </c>
    </row>
    <row r="286" spans="1:1" x14ac:dyDescent="0.15">
      <c r="A286" s="141" t="s">
        <v>403</v>
      </c>
    </row>
    <row r="287" spans="1:1" x14ac:dyDescent="0.15">
      <c r="A287" s="141" t="s">
        <v>404</v>
      </c>
    </row>
    <row r="288" spans="1:1" x14ac:dyDescent="0.15">
      <c r="A288" s="141" t="s">
        <v>405</v>
      </c>
    </row>
  </sheetData>
  <phoneticPr fontId="9" type="noConversion"/>
  <pageMargins left="0.7" right="0.7" top="0.75" bottom="0.75" header="0.3" footer="0.3"/>
  <pageSetup paperSize="9" orientation="portrait"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Summary_SEQ</vt:lpstr>
      <vt:lpstr>Summary</vt:lpstr>
      <vt:lpstr>Plot</vt:lpstr>
      <vt:lpstr>AI-10</vt:lpstr>
      <vt:lpstr>RA-10</vt:lpstr>
      <vt:lpstr>LDB-10</vt:lpstr>
      <vt:lpstr>LDP-10</vt:lpstr>
      <vt:lpstr>Reference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Bossen</dc:creator>
  <cp:keywords>CTPClassification=CTP_NT</cp:keywords>
  <cp:lastModifiedBy>李俊儒</cp:lastModifiedBy>
  <dcterms:created xsi:type="dcterms:W3CDTF">2011-06-30T00:09:01Z</dcterms:created>
  <dcterms:modified xsi:type="dcterms:W3CDTF">2020-08-07T08:49:16Z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-1180895938</vt:i4>
  </property>
  <property fmtid="{D5CDD505-2E9C-101B-9397-08002B2CF9AE}" pid="3" name="_NewReviewCycle">
    <vt:lpwstr/>
  </property>
  <property fmtid="{D5CDD505-2E9C-101B-9397-08002B2CF9AE}" pid="4" name="_EmailSubject">
    <vt:lpwstr>updated CTC doc(Internet mail)</vt:lpwstr>
  </property>
  <property fmtid="{D5CDD505-2E9C-101B-9397-08002B2CF9AE}" pid="5" name="_AuthorEmail">
    <vt:lpwstr>vseregin@qti.qualcomm.com</vt:lpwstr>
  </property>
  <property fmtid="{D5CDD505-2E9C-101B-9397-08002B2CF9AE}" pid="6" name="_AuthorEmailDisplayName">
    <vt:lpwstr>Vadim Seregin</vt:lpwstr>
  </property>
  <property fmtid="{D5CDD505-2E9C-101B-9397-08002B2CF9AE}" pid="7" name="_PreviousAdHocReviewCycleID">
    <vt:i4>1881523464</vt:i4>
  </property>
  <property fmtid="{D5CDD505-2E9C-101B-9397-08002B2CF9AE}" pid="8" name="_ReviewingToolsShownOnce">
    <vt:lpwstr/>
  </property>
  <property fmtid="{D5CDD505-2E9C-101B-9397-08002B2CF9AE}" pid="9" name="TitusGUID">
    <vt:lpwstr>202bb8b5-c496-4aad-94dd-0528cd977255</vt:lpwstr>
  </property>
  <property fmtid="{D5CDD505-2E9C-101B-9397-08002B2CF9AE}" pid="10" name="CTP_TimeStamp">
    <vt:lpwstr>2018-04-23 23:26:23Z</vt:lpwstr>
  </property>
  <property fmtid="{D5CDD505-2E9C-101B-9397-08002B2CF9AE}" pid="11" name="CTP_BU">
    <vt:lpwstr>NA</vt:lpwstr>
  </property>
  <property fmtid="{D5CDD505-2E9C-101B-9397-08002B2CF9AE}" pid="12" name="CTP_IDSID">
    <vt:lpwstr>NA</vt:lpwstr>
  </property>
  <property fmtid="{D5CDD505-2E9C-101B-9397-08002B2CF9AE}" pid="13" name="CTP_WWID">
    <vt:lpwstr>NA</vt:lpwstr>
  </property>
  <property fmtid="{D5CDD505-2E9C-101B-9397-08002B2CF9AE}" pid="14" name="CTPClassification">
    <vt:lpwstr>CTP_NT</vt:lpwstr>
  </property>
  <property fmtid="{D5CDD505-2E9C-101B-9397-08002B2CF9AE}" pid="15" name="_2015_ms_pID_725343">
    <vt:lpwstr>(3)2a4sjqkm4vlO77cT1tO0yAvaHNaWyiVWnK6Dx69FddClAnSY5zPwiDmcDOuAkHDzWQbRBL6G
5Z4Wn4DWmClGCplZz6LBmezPzWEYkeFshL+kIVJe1PH2ZC4eJrO9Sd4L+8LS+vE9ZD0OeQYk
osGPG2kKwiLy7Z4P7g0b4TU2rs83AJl7EzSdHRN1GKcGw/Cgb8KsGr4NwlQBUOLzfDlFzkiy
bANGrPyEVmtH0agVkt</vt:lpwstr>
  </property>
  <property fmtid="{D5CDD505-2E9C-101B-9397-08002B2CF9AE}" pid="16" name="_2015_ms_pID_7253431">
    <vt:lpwstr>Ow4zijgcID/v8XzWXRIE0gAsvYn0ll+4KVpYGlUhJOUkN8CKy6aP39
Yb1Bc5y6LKNIv8XlJsqJdf2yeknNKiAfhjm3ToyooNSYAYUvJnxgPLWAw31W+VoRnNdIPxHg
YWw/9ZnuCj3QR+/MMOk0VphNdDen6UvNHWKYqQMlL79W8538frQqZr1Dzi70aBCqt53uIEOo
kMDSlSVhViRHNVBiGyMCXh98Wu5RzwL54itc</vt:lpwstr>
  </property>
  <property fmtid="{D5CDD505-2E9C-101B-9397-08002B2CF9AE}" pid="17" name="_readonly">
    <vt:lpwstr/>
  </property>
  <property fmtid="{D5CDD505-2E9C-101B-9397-08002B2CF9AE}" pid="18" name="_change">
    <vt:lpwstr/>
  </property>
  <property fmtid="{D5CDD505-2E9C-101B-9397-08002B2CF9AE}" pid="19" name="_full-control">
    <vt:lpwstr/>
  </property>
  <property fmtid="{D5CDD505-2E9C-101B-9397-08002B2CF9AE}" pid="20" name="sflag">
    <vt:lpwstr>1548221515</vt:lpwstr>
  </property>
  <property fmtid="{D5CDD505-2E9C-101B-9397-08002B2CF9AE}" pid="21" name="_2015_ms_pID_7253432">
    <vt:lpwstr>hwb42voGJ1TYaETuu2ML47c=</vt:lpwstr>
  </property>
</Properties>
</file>